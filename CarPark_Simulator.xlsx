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J all\Comp-Sci\Projects\car-park\"/>
    </mc:Choice>
  </mc:AlternateContent>
  <xr:revisionPtr revIDLastSave="0" documentId="13_ncr:1_{28738081-8E08-439B-A4DD-EBC217C6C4A5}" xr6:coauthVersionLast="47" xr6:coauthVersionMax="47" xr10:uidLastSave="{00000000-0000-0000-0000-000000000000}"/>
  <bookViews>
    <workbookView xWindow="-105" yWindow="0" windowWidth="14610" windowHeight="15585" tabRatio="500" activeTab="1" xr2:uid="{00000000-000D-0000-FFFF-FFFF00000000}"/>
  </bookViews>
  <sheets>
    <sheet name="Inputs" sheetId="1" r:id="rId1"/>
    <sheet name="Results" sheetId="2" r:id="rId2"/>
    <sheet name="Calc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2" i="3" l="1"/>
  <c r="B65" i="3"/>
  <c r="B53" i="2" s="1"/>
  <c r="B64" i="3"/>
  <c r="B63" i="3"/>
  <c r="B61" i="3"/>
  <c r="B62" i="3" s="1"/>
  <c r="B52" i="2" s="1"/>
  <c r="B52" i="3"/>
  <c r="B51" i="3"/>
  <c r="B47" i="3"/>
  <c r="B46" i="3"/>
  <c r="B45" i="3"/>
  <c r="B34" i="3"/>
  <c r="B33" i="3"/>
  <c r="B32" i="3"/>
  <c r="B31" i="3"/>
  <c r="B30" i="3"/>
  <c r="B25" i="3"/>
  <c r="B26" i="3" s="1"/>
  <c r="B27" i="3" s="1"/>
  <c r="B14" i="2" s="1"/>
  <c r="B21" i="3"/>
  <c r="B20" i="3"/>
  <c r="B19" i="3"/>
  <c r="B18" i="3"/>
  <c r="B17" i="3"/>
  <c r="B12" i="3"/>
  <c r="B2" i="3"/>
  <c r="B59" i="2"/>
  <c r="B51" i="2"/>
  <c r="B18" i="1"/>
  <c r="B60" i="3" l="1"/>
  <c r="B55" i="3"/>
  <c r="B59" i="3"/>
  <c r="B56" i="3"/>
  <c r="B53" i="3"/>
  <c r="B58" i="3"/>
  <c r="B54" i="3"/>
  <c r="B57" i="3"/>
  <c r="B67" i="3"/>
  <c r="B66" i="3"/>
  <c r="B49" i="3"/>
  <c r="B48" i="3"/>
  <c r="B50" i="3" s="1"/>
  <c r="E31" i="2"/>
  <c r="D31" i="2"/>
  <c r="C31" i="2"/>
  <c r="B31" i="2"/>
  <c r="B16" i="3"/>
  <c r="B15" i="3"/>
  <c r="B14" i="3"/>
  <c r="B13" i="3"/>
  <c r="B39" i="3"/>
  <c r="B3" i="3"/>
  <c r="B4" i="3" s="1"/>
  <c r="B8" i="2"/>
  <c r="D41" i="2" l="1"/>
  <c r="E41" i="2"/>
  <c r="C41" i="2"/>
  <c r="B41" i="2"/>
  <c r="E36" i="2"/>
  <c r="C36" i="2"/>
  <c r="D36" i="2"/>
  <c r="B36" i="2"/>
  <c r="E40" i="2"/>
  <c r="D40" i="2"/>
  <c r="C40" i="2"/>
  <c r="B40" i="2"/>
  <c r="E37" i="2"/>
  <c r="D37" i="2"/>
  <c r="C37" i="2"/>
  <c r="B37" i="2"/>
  <c r="D34" i="2"/>
  <c r="C34" i="2"/>
  <c r="E34" i="2"/>
  <c r="B34" i="2"/>
  <c r="B39" i="2"/>
  <c r="E39" i="2"/>
  <c r="D39" i="2"/>
  <c r="C39" i="2"/>
  <c r="E35" i="2"/>
  <c r="D35" i="2"/>
  <c r="B35" i="2"/>
  <c r="C35" i="2"/>
  <c r="B38" i="2"/>
  <c r="D38" i="2"/>
  <c r="C38" i="2"/>
  <c r="E38" i="2"/>
  <c r="B69" i="3"/>
  <c r="B68" i="3"/>
  <c r="B55" i="2" s="1"/>
  <c r="B54" i="2"/>
  <c r="B42" i="2"/>
  <c r="C42" i="2"/>
  <c r="D42" i="2"/>
  <c r="E42" i="2"/>
  <c r="B72" i="3"/>
  <c r="B47" i="2"/>
  <c r="E47" i="2"/>
  <c r="B78" i="3"/>
  <c r="B75" i="3"/>
  <c r="D47" i="2"/>
  <c r="C43" i="2"/>
  <c r="D43" i="2"/>
  <c r="E43" i="2"/>
  <c r="B33" i="2"/>
  <c r="C33" i="2"/>
  <c r="D33" i="2"/>
  <c r="E33" i="2"/>
  <c r="B32" i="2"/>
  <c r="C32" i="2"/>
  <c r="D32" i="2"/>
  <c r="E32" i="2"/>
  <c r="D23" i="2"/>
  <c r="B23" i="2"/>
  <c r="E23" i="2"/>
  <c r="C23" i="2"/>
  <c r="B5" i="3"/>
  <c r="B8" i="3" s="1"/>
  <c r="B9" i="3"/>
  <c r="B10" i="3"/>
  <c r="B5" i="2"/>
  <c r="B40" i="3"/>
  <c r="B83" i="3" s="1"/>
  <c r="B9" i="2"/>
  <c r="B7" i="2" l="1"/>
  <c r="B6" i="3"/>
  <c r="C47" i="2"/>
  <c r="B43" i="2"/>
  <c r="B11" i="3"/>
  <c r="B10" i="2"/>
  <c r="B11" i="2"/>
  <c r="B28" i="3"/>
  <c r="B29" i="3" s="1"/>
  <c r="B24" i="2"/>
  <c r="E24" i="2"/>
  <c r="C24" i="2"/>
  <c r="D24" i="2"/>
  <c r="B7" i="3" l="1"/>
  <c r="B6" i="2"/>
  <c r="B80" i="3"/>
  <c r="B15" i="2"/>
  <c r="B23" i="3"/>
  <c r="B36" i="3"/>
  <c r="B16" i="2"/>
  <c r="B22" i="3" l="1"/>
  <c r="B24" i="3" s="1"/>
  <c r="B35" i="3"/>
  <c r="B37" i="3" s="1"/>
  <c r="B17" i="2"/>
  <c r="E21" i="2" l="1"/>
  <c r="D21" i="2"/>
  <c r="C21" i="2"/>
  <c r="B21" i="2"/>
  <c r="B38" i="3"/>
  <c r="C22" i="2"/>
  <c r="D22" i="2"/>
  <c r="B22" i="2"/>
  <c r="E22" i="2"/>
  <c r="B81" i="3" l="1"/>
  <c r="B18" i="2" s="1"/>
  <c r="B41" i="3"/>
  <c r="B42" i="3" l="1"/>
  <c r="B43" i="3"/>
  <c r="B25" i="2"/>
  <c r="D25" i="2"/>
  <c r="E25" i="2"/>
  <c r="C25" i="2"/>
  <c r="B44" i="3" l="1"/>
  <c r="B26" i="2"/>
  <c r="C26" i="2"/>
  <c r="D26" i="2"/>
  <c r="E26" i="2"/>
  <c r="B27" i="2"/>
  <c r="C27" i="2"/>
  <c r="D27" i="2"/>
  <c r="E27" i="2"/>
  <c r="B74" i="3" l="1"/>
  <c r="B77" i="3"/>
  <c r="B84" i="3"/>
  <c r="B85" i="3" s="1"/>
  <c r="B71" i="3"/>
  <c r="B28" i="2"/>
  <c r="C28" i="2"/>
  <c r="D28" i="2"/>
  <c r="E28" i="2"/>
  <c r="B70" i="3"/>
  <c r="B46" i="2"/>
  <c r="C46" i="2"/>
  <c r="D46" i="2"/>
  <c r="E46" i="2"/>
  <c r="B58" i="2" l="1"/>
  <c r="B60" i="2"/>
  <c r="B76" i="3"/>
  <c r="C48" i="2"/>
  <c r="B48" i="2"/>
  <c r="E48" i="2"/>
  <c r="B79" i="3"/>
  <c r="B73" i="3"/>
  <c r="D48" i="2"/>
</calcChain>
</file>

<file path=xl/sharedStrings.xml><?xml version="1.0" encoding="utf-8"?>
<sst xmlns="http://schemas.openxmlformats.org/spreadsheetml/2006/main" count="233" uniqueCount="202">
  <si>
    <t>Car Park Financial Simulator — Inputs</t>
  </si>
  <si>
    <t>Blue cells = inputs you can change  |  Black cells = calculated values</t>
  </si>
  <si>
    <t xml:space="preserve">  Car Park Basics</t>
  </si>
  <si>
    <t>Total Spaces</t>
  </si>
  <si>
    <t>Operating Hours / Day</t>
  </si>
  <si>
    <t>hrs</t>
  </si>
  <si>
    <t>Opening Days / Week</t>
  </si>
  <si>
    <t>Occupancy Rate</t>
  </si>
  <si>
    <t>%</t>
  </si>
  <si>
    <t>Avg. Stay (Short-Stay)</t>
  </si>
  <si>
    <t>Dead Time Between Cars</t>
  </si>
  <si>
    <t>mins</t>
  </si>
  <si>
    <t>Commuter % (all-day parkers)</t>
  </si>
  <si>
    <t xml:space="preserve">  Vehicle Mix (must sum to 100%)</t>
  </si>
  <si>
    <t>% Small Car</t>
  </si>
  <si>
    <t>% Large Car / 4x4</t>
  </si>
  <si>
    <t>% Small/Medium Van</t>
  </si>
  <si>
    <t>% Large Van</t>
  </si>
  <si>
    <t>Mix Total (should be 100%)</t>
  </si>
  <si>
    <t xml:space="preserve">  Parking Prices (VAT-inclusive, £)</t>
  </si>
  <si>
    <t>Vehicle Type</t>
  </si>
  <si>
    <t>Hourly Rate £</t>
  </si>
  <si>
    <t>Daily Rate £</t>
  </si>
  <si>
    <t>Daily Threshold (hrs)</t>
  </si>
  <si>
    <t>Small Car</t>
  </si>
  <si>
    <t>Large Car / 4x4</t>
  </si>
  <si>
    <t>Small/Medium Van</t>
  </si>
  <si>
    <t>Large Van</t>
  </si>
  <si>
    <t xml:space="preserve">  Overnight &amp; Long-Term Parking</t>
  </si>
  <si>
    <t>Overnight Cars (reserved spaces)</t>
  </si>
  <si>
    <t>Overnight Flat Fee</t>
  </si>
  <si>
    <t>£/night</t>
  </si>
  <si>
    <t>Long-Term Reserved Spaces</t>
  </si>
  <si>
    <t>Long-Term Weekly Fee</t>
  </si>
  <si>
    <t>£/space/wk</t>
  </si>
  <si>
    <t xml:space="preserve">  Indoor / Outdoor Split</t>
  </si>
  <si>
    <t>Number of Indoor Spaces</t>
  </si>
  <si>
    <t>Indoor Hourly Rate</t>
  </si>
  <si>
    <t>£/hr</t>
  </si>
  <si>
    <t>Indoor Daily Rate</t>
  </si>
  <si>
    <t>£/day</t>
  </si>
  <si>
    <t xml:space="preserve">  Staff Costs</t>
  </si>
  <si>
    <t>Number of Staff</t>
  </si>
  <si>
    <t>Hourly Wage</t>
  </si>
  <si>
    <t>Hours per Day</t>
  </si>
  <si>
    <t>Employer NI Rate</t>
  </si>
  <si>
    <t>Employer Pension Rate</t>
  </si>
  <si>
    <t xml:space="preserve">  ANPR System (optional)</t>
  </si>
  <si>
    <t>ANPR Enabled? (1=Yes, 0=No)</t>
  </si>
  <si>
    <t>Installation Cost</t>
  </si>
  <si>
    <t>£</t>
  </si>
  <si>
    <t>Monthly Maintenance</t>
  </si>
  <si>
    <t>£/mth</t>
  </si>
  <si>
    <t>Amortise Over (years)</t>
  </si>
  <si>
    <t xml:space="preserve">  Fixed Monthly Operating Costs (£)</t>
  </si>
  <si>
    <t>Monthly Rent</t>
  </si>
  <si>
    <t>Monthly Insurance</t>
  </si>
  <si>
    <t>Monthly Utilities</t>
  </si>
  <si>
    <t>Monthly Business Rates</t>
  </si>
  <si>
    <t>Monthly Cleaning</t>
  </si>
  <si>
    <t>Other Monthly Costs</t>
  </si>
  <si>
    <t>Card Processing Fee</t>
  </si>
  <si>
    <t xml:space="preserve">  Mortgage / Finance (optional)</t>
  </si>
  <si>
    <t>Mortgage Enabled? (1=Yes, 0=No)</t>
  </si>
  <si>
    <t>Purchase Price</t>
  </si>
  <si>
    <t>Deposit %</t>
  </si>
  <si>
    <t>Annual Interest Rate</t>
  </si>
  <si>
    <t>Mortgage Term</t>
  </si>
  <si>
    <t>years</t>
  </si>
  <si>
    <t>Car Park Financial Simulator — Results Dashboard</t>
  </si>
  <si>
    <t>Results update automatically when you change inputs.  Green = linked from calculations.</t>
  </si>
  <si>
    <t>Daily</t>
  </si>
  <si>
    <t>Weekly</t>
  </si>
  <si>
    <t>Monthly</t>
  </si>
  <si>
    <t>Annual</t>
  </si>
  <si>
    <t xml:space="preserve">  Space Allocation</t>
  </si>
  <si>
    <t xml:space="preserve">  of which: Outdoor</t>
  </si>
  <si>
    <t xml:space="preserve">  of which: Indoor</t>
  </si>
  <si>
    <t>Overnight Reserved Spaces</t>
  </si>
  <si>
    <t>Commuter Spaces</t>
  </si>
  <si>
    <t>Short-Stay Spaces</t>
  </si>
  <si>
    <t xml:space="preserve">  Throughput</t>
  </si>
  <si>
    <t>Short-Stay Turnover Rate (x/day)</t>
  </si>
  <si>
    <t>Commuter Vehicles / Day</t>
  </si>
  <si>
    <t>Short-Stay Vehicles / Day</t>
  </si>
  <si>
    <t>Total Vehicles / Day</t>
  </si>
  <si>
    <t>Avg Revenue / Vehicle (gross, £)</t>
  </si>
  <si>
    <t xml:space="preserve">  Revenue (£) — Net of VAT &amp; Card Fees</t>
  </si>
  <si>
    <t xml:space="preserve">  Commuter Parking</t>
  </si>
  <si>
    <t xml:space="preserve">  Short-Stay Parking</t>
  </si>
  <si>
    <t xml:space="preserve">  Overnight</t>
  </si>
  <si>
    <t xml:space="preserve">  Long-Term Permits</t>
  </si>
  <si>
    <t>Gross Revenue (VAT-inclusive)</t>
  </si>
  <si>
    <t xml:space="preserve">  less: VAT (20%)</t>
  </si>
  <si>
    <t xml:space="preserve">  less: Card Fees</t>
  </si>
  <si>
    <t>Net Revenue</t>
  </si>
  <si>
    <t xml:space="preserve">  Costs (£) — Daily Detail</t>
  </si>
  <si>
    <t xml:space="preserve">  Staff Wages</t>
  </si>
  <si>
    <t xml:space="preserve">  Employer NI</t>
  </si>
  <si>
    <t xml:space="preserve">  Employer Pension</t>
  </si>
  <si>
    <t xml:space="preserve">  ANPR System</t>
  </si>
  <si>
    <t xml:space="preserve">  Rent</t>
  </si>
  <si>
    <t xml:space="preserve">  Insurance</t>
  </si>
  <si>
    <t xml:space="preserve">  Utilities</t>
  </si>
  <si>
    <t xml:space="preserve">  Maintenance</t>
  </si>
  <si>
    <t xml:space="preserve">  Business Rates</t>
  </si>
  <si>
    <t xml:space="preserve">  Cleaning</t>
  </si>
  <si>
    <t xml:space="preserve">  Other</t>
  </si>
  <si>
    <t xml:space="preserve">  Mortgage</t>
  </si>
  <si>
    <t>Total Costs</t>
  </si>
  <si>
    <t xml:space="preserve">  Profit / Loss Summary (£)</t>
  </si>
  <si>
    <t>Net Profit / (Loss)</t>
  </si>
  <si>
    <t xml:space="preserve">  Mortgage Summary (if enabled)</t>
  </si>
  <si>
    <t>Deposit</t>
  </si>
  <si>
    <t>Loan Amount</t>
  </si>
  <si>
    <t>Monthly Payment</t>
  </si>
  <si>
    <t>Total Repaid</t>
  </si>
  <si>
    <t>Total Interest</t>
  </si>
  <si>
    <t xml:space="preserve">  Break-Even Analysis</t>
  </si>
  <si>
    <t>Break-Even Occupancy Rate</t>
  </si>
  <si>
    <t>Current Occupancy Rate</t>
  </si>
  <si>
    <t>Headroom (positive = profitable)</t>
  </si>
  <si>
    <t>Intermediate Calculations</t>
  </si>
  <si>
    <t>Overnight Cars (capped)</t>
  </si>
  <si>
    <t>Long-Term Spaces (capped)</t>
  </si>
  <si>
    <t>Indoor Spaces (capped)</t>
  </si>
  <si>
    <t>Outdoor Spaces</t>
  </si>
  <si>
    <t>Outdoor Fraction</t>
  </si>
  <si>
    <t>Indoor Fraction</t>
  </si>
  <si>
    <t>Short-Stay Spaces (non-commuter)</t>
  </si>
  <si>
    <t>Commuter Occupied Spaces</t>
  </si>
  <si>
    <t>Mix Total</t>
  </si>
  <si>
    <t>Norm Mix Small</t>
  </si>
  <si>
    <t>Norm Mix Large</t>
  </si>
  <si>
    <t>Norm Mix SMVan</t>
  </si>
  <si>
    <t>Norm Mix LVan</t>
  </si>
  <si>
    <t>Commuter Cost Small (outdoor)</t>
  </si>
  <si>
    <t>Commuter Cost Large (outdoor)</t>
  </si>
  <si>
    <t>Commuter Cost SMVan (outdoor)</t>
  </si>
  <si>
    <t>Commuter Cost LVan (outdoor)</t>
  </si>
  <si>
    <t>Commuter Cost Indoor</t>
  </si>
  <si>
    <t>Commuter Revenue Outdoor</t>
  </si>
  <si>
    <t>Commuter Revenue Indoor</t>
  </si>
  <si>
    <t>Commuter Revenue Total</t>
  </si>
  <si>
    <t>Dead Time (hours)</t>
  </si>
  <si>
    <t>Effective Stay (hrs)</t>
  </si>
  <si>
    <t>Short-Stay Turnover Rate</t>
  </si>
  <si>
    <t>Short-Stay Occupied Spaces</t>
  </si>
  <si>
    <t>Short-Stay Vehicles/Day</t>
  </si>
  <si>
    <t>SS Cost Small (outdoor)</t>
  </si>
  <si>
    <t>SS Cost Large (outdoor)</t>
  </si>
  <si>
    <t>SS Cost SMVan (outdoor)</t>
  </si>
  <si>
    <t>SS Cost LVan (outdoor)</t>
  </si>
  <si>
    <t>SS Cost Indoor</t>
  </si>
  <si>
    <t>SS Revenue Outdoor</t>
  </si>
  <si>
    <t>SS Revenue Indoor</t>
  </si>
  <si>
    <t>SS Revenue Total</t>
  </si>
  <si>
    <t>Daily Parking Revenue (Gross)</t>
  </si>
  <si>
    <t>Daily Overnight Revenue (Gross)</t>
  </si>
  <si>
    <t>Daily Long-Term Revenue (Gross)</t>
  </si>
  <si>
    <t>Daily Total Revenue (Gross)</t>
  </si>
  <si>
    <t>Daily VAT Liability</t>
  </si>
  <si>
    <t>Daily Card Fees</t>
  </si>
  <si>
    <t>Daily Net Revenue</t>
  </si>
  <si>
    <t>Days per Month</t>
  </si>
  <si>
    <t>Days per Year</t>
  </si>
  <si>
    <t>Daily Base Wage</t>
  </si>
  <si>
    <t>Daily Employer NI</t>
  </si>
  <si>
    <t>Daily Employer Pension</t>
  </si>
  <si>
    <t>Daily Total Staff Cost</t>
  </si>
  <si>
    <t>ANPR Monthly Amortised Install</t>
  </si>
  <si>
    <t>ANPR Total Monthly</t>
  </si>
  <si>
    <t>ANPR Daily Cost</t>
  </si>
  <si>
    <t>Daily Rent</t>
  </si>
  <si>
    <t>Daily Insurance</t>
  </si>
  <si>
    <t>Daily Utilities</t>
  </si>
  <si>
    <t>Daily Maintenance</t>
  </si>
  <si>
    <t>Daily Business Rates</t>
  </si>
  <si>
    <t>Daily Cleaning</t>
  </si>
  <si>
    <t>Daily Other</t>
  </si>
  <si>
    <t>Deposit Amount</t>
  </si>
  <si>
    <t>Monthly Interest Rate</t>
  </si>
  <si>
    <t>Total Payments</t>
  </si>
  <si>
    <t>Monthly Mortgage Payment</t>
  </si>
  <si>
    <t>Daily Mortgage Payment</t>
  </si>
  <si>
    <t>Total Daily Cost</t>
  </si>
  <si>
    <t>Daily Profit</t>
  </si>
  <si>
    <t>Weekly Revenue</t>
  </si>
  <si>
    <t>Weekly Cost</t>
  </si>
  <si>
    <t>Weekly Profit</t>
  </si>
  <si>
    <t>Monthly Revenue</t>
  </si>
  <si>
    <t>Monthly Cost</t>
  </si>
  <si>
    <t>Monthly Profit</t>
  </si>
  <si>
    <t>Yearly Revenue</t>
  </si>
  <si>
    <t>Yearly Cost</t>
  </si>
  <si>
    <t>Yearly Profit</t>
  </si>
  <si>
    <t>Total Vehicles/Day</t>
  </si>
  <si>
    <t>Avg Revenue/Vehicle (gross)</t>
  </si>
  <si>
    <t>VAT+Card Factor</t>
  </si>
  <si>
    <t>Fixed Revenue Net (overnight+longterm)</t>
  </si>
  <si>
    <t>Parking Net Revenue</t>
  </si>
  <si>
    <t>Break-Even Occupancy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</si>
</sst>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\£#,##0.00;&quot;(£&quot;#,##0.00\);\-"/>
  </numFmts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1"/>
      <color rgb="FF000000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  <font>
      <sz val="10"/>
      <color rgb="FF008000"/>
      <name val="Arial"/>
      <charset val="1"/>
    </font>
    <font>
      <b/>
      <sz val="10"/>
      <color rgb="FF008000"/>
      <name val="Arial"/>
      <charset val="1"/>
    </font>
    <font>
      <sz val="11"/>
      <color rgb="FF008000"/>
      <name val="Arial"/>
      <charset val="1"/>
    </font>
    <font>
      <b/>
      <sz val="11"/>
      <color rgb="FF008000"/>
      <name val="Arial"/>
      <charset val="1"/>
    </font>
    <font>
      <b/>
      <sz val="11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F2F7FC"/>
      </patternFill>
    </fill>
    <fill>
      <patternFill patternType="solid">
        <fgColor rgb="FFF2F7F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7" fillId="0" borderId="0" xfId="0" applyFont="1"/>
    <xf numFmtId="0" fontId="3" fillId="3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/>
    </xf>
    <xf numFmtId="164" fontId="5" fillId="0" borderId="0" xfId="0" applyNumberFormat="1" applyFont="1" applyAlignment="1">
      <alignment horizontal="right"/>
    </xf>
    <xf numFmtId="0" fontId="4" fillId="4" borderId="0" xfId="0" applyFont="1" applyFill="1" applyAlignment="1">
      <alignment horizontal="left"/>
    </xf>
    <xf numFmtId="164" fontId="5" fillId="4" borderId="0" xfId="0" applyNumberFormat="1" applyFont="1" applyFill="1" applyAlignment="1">
      <alignment horizontal="right"/>
    </xf>
    <xf numFmtId="0" fontId="0" fillId="4" borderId="0" xfId="0" applyFill="1"/>
    <xf numFmtId="165" fontId="5" fillId="4" borderId="0" xfId="0" applyNumberFormat="1" applyFont="1" applyFill="1" applyAlignment="1">
      <alignment horizontal="right"/>
    </xf>
    <xf numFmtId="165" fontId="5" fillId="0" borderId="0" xfId="0" applyNumberFormat="1" applyFont="1" applyAlignment="1">
      <alignment horizontal="right"/>
    </xf>
    <xf numFmtId="9" fontId="6" fillId="4" borderId="0" xfId="0" applyNumberFormat="1" applyFont="1" applyFill="1" applyAlignment="1">
      <alignment horizontal="right"/>
    </xf>
    <xf numFmtId="0" fontId="7" fillId="0" borderId="0" xfId="0" applyFont="1"/>
    <xf numFmtId="166" fontId="5" fillId="4" borderId="0" xfId="0" applyNumberFormat="1" applyFont="1" applyFill="1" applyAlignment="1">
      <alignment horizontal="right"/>
    </xf>
    <xf numFmtId="0" fontId="5" fillId="4" borderId="0" xfId="0" applyFont="1" applyFill="1" applyAlignment="1">
      <alignment horizontal="right"/>
    </xf>
    <xf numFmtId="166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0" fillId="2" borderId="0" xfId="0" applyFill="1"/>
    <xf numFmtId="0" fontId="8" fillId="2" borderId="0" xfId="0" applyFont="1" applyFill="1" applyAlignment="1">
      <alignment horizontal="right"/>
    </xf>
    <xf numFmtId="3" fontId="9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0" fontId="4" fillId="3" borderId="0" xfId="0" applyFont="1" applyFill="1" applyAlignment="1">
      <alignment horizontal="left"/>
    </xf>
    <xf numFmtId="166" fontId="10" fillId="3" borderId="0" xfId="0" applyNumberFormat="1" applyFont="1" applyFill="1" applyAlignment="1">
      <alignment horizontal="right"/>
    </xf>
    <xf numFmtId="166" fontId="11" fillId="0" borderId="0" xfId="0" applyNumberFormat="1" applyFont="1" applyAlignment="1">
      <alignment horizontal="right"/>
    </xf>
    <xf numFmtId="165" fontId="12" fillId="0" borderId="0" xfId="0" applyNumberFormat="1" applyFont="1" applyAlignment="1">
      <alignment horizontal="right"/>
    </xf>
    <xf numFmtId="165" fontId="11" fillId="0" borderId="0" xfId="0" applyNumberFormat="1" applyFont="1" applyAlignment="1">
      <alignment horizontal="right"/>
    </xf>
    <xf numFmtId="0" fontId="13" fillId="0" borderId="0" xfId="0" applyFont="1"/>
    <xf numFmtId="0" fontId="4" fillId="0" borderId="0" xfId="0" applyFont="1"/>
    <xf numFmtId="10" fontId="4" fillId="0" borderId="0" xfId="0" applyNumberFormat="1" applyFont="1"/>
    <xf numFmtId="166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7F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opLeftCell="A40" zoomScaleNormal="100" workbookViewId="0">
      <selection activeCell="B29" sqref="B29"/>
    </sheetView>
  </sheetViews>
  <sheetFormatPr defaultColWidth="8.7109375" defaultRowHeight="15" x14ac:dyDescent="0.25"/>
  <cols>
    <col min="1" max="1" width="32" customWidth="1"/>
    <col min="2" max="2" width="16" customWidth="1"/>
    <col min="3" max="3" width="22" customWidth="1"/>
    <col min="4" max="4" width="16" customWidth="1"/>
    <col min="5" max="5" width="22" customWidth="1"/>
  </cols>
  <sheetData>
    <row r="1" spans="1:5" ht="27.75" customHeight="1" x14ac:dyDescent="0.25">
      <c r="A1" s="4" t="s">
        <v>0</v>
      </c>
      <c r="B1" s="4"/>
      <c r="C1" s="4"/>
      <c r="D1" s="4"/>
      <c r="E1" s="4"/>
    </row>
    <row r="2" spans="1:5" x14ac:dyDescent="0.25">
      <c r="A2" s="3" t="s">
        <v>1</v>
      </c>
      <c r="B2" s="3"/>
      <c r="C2" s="3"/>
      <c r="D2" s="3"/>
      <c r="E2" s="3"/>
    </row>
    <row r="4" spans="1:5" ht="18" customHeight="1" x14ac:dyDescent="0.25">
      <c r="A4" s="2" t="s">
        <v>2</v>
      </c>
      <c r="B4" s="2"/>
      <c r="C4" s="2"/>
      <c r="D4" s="2"/>
      <c r="E4" s="2"/>
    </row>
    <row r="5" spans="1:5" x14ac:dyDescent="0.25">
      <c r="A5" s="5" t="s">
        <v>3</v>
      </c>
      <c r="B5" s="6">
        <v>80</v>
      </c>
    </row>
    <row r="6" spans="1:5" x14ac:dyDescent="0.25">
      <c r="A6" s="7" t="s">
        <v>4</v>
      </c>
      <c r="B6" s="8">
        <v>11</v>
      </c>
      <c r="C6" s="7" t="s">
        <v>5</v>
      </c>
      <c r="D6" s="9"/>
      <c r="E6" s="9"/>
    </row>
    <row r="7" spans="1:5" x14ac:dyDescent="0.25">
      <c r="A7" s="5" t="s">
        <v>6</v>
      </c>
      <c r="B7" s="6">
        <v>7</v>
      </c>
    </row>
    <row r="8" spans="1:5" x14ac:dyDescent="0.25">
      <c r="A8" s="7" t="s">
        <v>7</v>
      </c>
      <c r="B8" s="10">
        <v>0.5</v>
      </c>
      <c r="C8" s="7" t="s">
        <v>8</v>
      </c>
      <c r="D8" s="9"/>
      <c r="E8" s="9"/>
    </row>
    <row r="9" spans="1:5" x14ac:dyDescent="0.25">
      <c r="A9" s="5" t="s">
        <v>9</v>
      </c>
      <c r="B9" s="6">
        <v>1.9</v>
      </c>
      <c r="C9" s="5" t="s">
        <v>5</v>
      </c>
    </row>
    <row r="10" spans="1:5" x14ac:dyDescent="0.25">
      <c r="A10" s="7" t="s">
        <v>10</v>
      </c>
      <c r="B10" s="8">
        <v>10</v>
      </c>
      <c r="C10" s="7" t="s">
        <v>11</v>
      </c>
      <c r="D10" s="9"/>
      <c r="E10" s="9"/>
    </row>
    <row r="11" spans="1:5" x14ac:dyDescent="0.25">
      <c r="A11" s="5" t="s">
        <v>12</v>
      </c>
      <c r="B11" s="11">
        <v>0.35</v>
      </c>
      <c r="C11" s="5" t="s">
        <v>8</v>
      </c>
    </row>
    <row r="12" spans="1:5" x14ac:dyDescent="0.25">
      <c r="A12" s="9"/>
      <c r="B12" s="9"/>
      <c r="C12" s="9"/>
      <c r="D12" s="9"/>
      <c r="E12" s="9"/>
    </row>
    <row r="13" spans="1:5" ht="18" customHeight="1" x14ac:dyDescent="0.25">
      <c r="A13" s="2" t="s">
        <v>13</v>
      </c>
      <c r="B13" s="2"/>
      <c r="C13" s="2"/>
      <c r="D13" s="2"/>
      <c r="E13" s="2"/>
    </row>
    <row r="14" spans="1:5" x14ac:dyDescent="0.25">
      <c r="A14" s="7" t="s">
        <v>14</v>
      </c>
      <c r="B14" s="10">
        <v>0.85</v>
      </c>
      <c r="C14" s="7" t="s">
        <v>8</v>
      </c>
      <c r="D14" s="9"/>
      <c r="E14" s="9"/>
    </row>
    <row r="15" spans="1:5" x14ac:dyDescent="0.25">
      <c r="A15" s="5" t="s">
        <v>15</v>
      </c>
      <c r="B15" s="11">
        <v>0.05</v>
      </c>
      <c r="C15" s="5" t="s">
        <v>8</v>
      </c>
    </row>
    <row r="16" spans="1:5" x14ac:dyDescent="0.25">
      <c r="A16" s="7" t="s">
        <v>16</v>
      </c>
      <c r="B16" s="10">
        <v>0.05</v>
      </c>
      <c r="C16" s="7" t="s">
        <v>8</v>
      </c>
      <c r="D16" s="9"/>
      <c r="E16" s="9"/>
    </row>
    <row r="17" spans="1:5" x14ac:dyDescent="0.25">
      <c r="A17" s="5" t="s">
        <v>17</v>
      </c>
      <c r="B17" s="11">
        <v>0.05</v>
      </c>
      <c r="C17" s="5" t="s">
        <v>8</v>
      </c>
    </row>
    <row r="18" spans="1:5" x14ac:dyDescent="0.25">
      <c r="A18" s="7" t="s">
        <v>18</v>
      </c>
      <c r="B18" s="12">
        <f>SUM(B14:B17)</f>
        <v>1</v>
      </c>
      <c r="C18" s="9"/>
      <c r="D18" s="9"/>
      <c r="E18" s="9"/>
    </row>
    <row r="20" spans="1:5" ht="18" customHeight="1" x14ac:dyDescent="0.25">
      <c r="A20" s="2" t="s">
        <v>19</v>
      </c>
      <c r="B20" s="2"/>
      <c r="C20" s="2"/>
      <c r="D20" s="2"/>
      <c r="E20" s="2"/>
    </row>
    <row r="21" spans="1:5" x14ac:dyDescent="0.25">
      <c r="A21" s="1" t="s">
        <v>20</v>
      </c>
      <c r="B21" s="1"/>
      <c r="C21" s="13" t="s">
        <v>21</v>
      </c>
      <c r="D21" s="13" t="s">
        <v>22</v>
      </c>
      <c r="E21" s="13" t="s">
        <v>23</v>
      </c>
    </row>
    <row r="22" spans="1:5" x14ac:dyDescent="0.25">
      <c r="A22" s="7" t="s">
        <v>24</v>
      </c>
      <c r="B22" s="9"/>
      <c r="C22" s="14">
        <v>5</v>
      </c>
      <c r="D22" s="14">
        <v>25</v>
      </c>
      <c r="E22" s="15">
        <v>5</v>
      </c>
    </row>
    <row r="23" spans="1:5" x14ac:dyDescent="0.25">
      <c r="A23" s="5" t="s">
        <v>25</v>
      </c>
      <c r="C23" s="16">
        <v>6</v>
      </c>
      <c r="D23" s="16">
        <v>30</v>
      </c>
      <c r="E23" s="17">
        <v>5</v>
      </c>
    </row>
    <row r="24" spans="1:5" x14ac:dyDescent="0.25">
      <c r="A24" s="7" t="s">
        <v>26</v>
      </c>
      <c r="B24" s="9"/>
      <c r="C24" s="14">
        <v>6</v>
      </c>
      <c r="D24" s="14">
        <v>30</v>
      </c>
      <c r="E24" s="15">
        <v>5</v>
      </c>
    </row>
    <row r="25" spans="1:5" x14ac:dyDescent="0.25">
      <c r="A25" s="5" t="s">
        <v>27</v>
      </c>
      <c r="C25" s="16">
        <v>10</v>
      </c>
      <c r="D25" s="16">
        <v>50</v>
      </c>
      <c r="E25" s="17">
        <v>5</v>
      </c>
    </row>
    <row r="26" spans="1:5" x14ac:dyDescent="0.25">
      <c r="A26" s="9"/>
      <c r="B26" s="9"/>
      <c r="C26" s="9"/>
      <c r="D26" s="9"/>
      <c r="E26" s="9"/>
    </row>
    <row r="27" spans="1:5" ht="18" customHeight="1" x14ac:dyDescent="0.25">
      <c r="A27" s="2" t="s">
        <v>28</v>
      </c>
      <c r="B27" s="2"/>
      <c r="C27" s="2"/>
      <c r="D27" s="2"/>
      <c r="E27" s="2"/>
    </row>
    <row r="28" spans="1:5" x14ac:dyDescent="0.25">
      <c r="A28" s="7" t="s">
        <v>29</v>
      </c>
      <c r="B28" s="8">
        <v>5</v>
      </c>
      <c r="C28" s="9"/>
      <c r="D28" s="9"/>
      <c r="E28" s="9"/>
    </row>
    <row r="29" spans="1:5" x14ac:dyDescent="0.25">
      <c r="A29" s="5" t="s">
        <v>30</v>
      </c>
      <c r="B29" s="16">
        <v>15</v>
      </c>
      <c r="C29" s="5" t="s">
        <v>31</v>
      </c>
    </row>
    <row r="30" spans="1:5" x14ac:dyDescent="0.25">
      <c r="A30" s="7" t="s">
        <v>32</v>
      </c>
      <c r="B30" s="8">
        <v>20</v>
      </c>
      <c r="C30" s="9"/>
      <c r="D30" s="9"/>
      <c r="E30" s="9"/>
    </row>
    <row r="31" spans="1:5" x14ac:dyDescent="0.25">
      <c r="A31" s="5" t="s">
        <v>33</v>
      </c>
      <c r="B31" s="16">
        <v>105</v>
      </c>
      <c r="C31" s="5" t="s">
        <v>34</v>
      </c>
    </row>
    <row r="32" spans="1:5" x14ac:dyDescent="0.25">
      <c r="A32" s="9"/>
      <c r="B32" s="9"/>
      <c r="C32" s="9"/>
      <c r="D32" s="9"/>
      <c r="E32" s="9"/>
    </row>
    <row r="33" spans="1:5" ht="18" customHeight="1" x14ac:dyDescent="0.25">
      <c r="A33" s="2" t="s">
        <v>35</v>
      </c>
      <c r="B33" s="2"/>
      <c r="C33" s="2"/>
      <c r="D33" s="2"/>
      <c r="E33" s="2"/>
    </row>
    <row r="34" spans="1:5" x14ac:dyDescent="0.25">
      <c r="A34" s="7" t="s">
        <v>36</v>
      </c>
      <c r="B34" s="8">
        <v>20</v>
      </c>
      <c r="C34" s="9"/>
      <c r="D34" s="9"/>
      <c r="E34" s="9"/>
    </row>
    <row r="35" spans="1:5" x14ac:dyDescent="0.25">
      <c r="A35" s="5" t="s">
        <v>37</v>
      </c>
      <c r="B35" s="16">
        <v>6</v>
      </c>
      <c r="C35" s="5" t="s">
        <v>38</v>
      </c>
    </row>
    <row r="36" spans="1:5" x14ac:dyDescent="0.25">
      <c r="A36" s="7" t="s">
        <v>39</v>
      </c>
      <c r="B36" s="14">
        <v>30</v>
      </c>
      <c r="C36" s="7" t="s">
        <v>40</v>
      </c>
      <c r="D36" s="9"/>
      <c r="E36" s="9"/>
    </row>
    <row r="38" spans="1:5" ht="18" customHeight="1" x14ac:dyDescent="0.25">
      <c r="A38" s="2" t="s">
        <v>41</v>
      </c>
      <c r="B38" s="2"/>
      <c r="C38" s="2"/>
      <c r="D38" s="2"/>
      <c r="E38" s="2"/>
    </row>
    <row r="39" spans="1:5" x14ac:dyDescent="0.25">
      <c r="A39" s="5" t="s">
        <v>42</v>
      </c>
      <c r="B39" s="6">
        <v>1</v>
      </c>
    </row>
    <row r="40" spans="1:5" x14ac:dyDescent="0.25">
      <c r="A40" s="7" t="s">
        <v>43</v>
      </c>
      <c r="B40" s="14">
        <v>12</v>
      </c>
      <c r="C40" s="7" t="s">
        <v>38</v>
      </c>
      <c r="D40" s="9"/>
      <c r="E40" s="9"/>
    </row>
    <row r="41" spans="1:5" x14ac:dyDescent="0.25">
      <c r="A41" s="5" t="s">
        <v>44</v>
      </c>
      <c r="B41" s="6">
        <v>11</v>
      </c>
      <c r="C41" s="5" t="s">
        <v>5</v>
      </c>
    </row>
    <row r="42" spans="1:5" x14ac:dyDescent="0.25">
      <c r="A42" s="7" t="s">
        <v>45</v>
      </c>
      <c r="B42" s="10">
        <v>0.13800000000000001</v>
      </c>
      <c r="C42" s="7" t="s">
        <v>8</v>
      </c>
      <c r="D42" s="9"/>
      <c r="E42" s="9"/>
    </row>
    <row r="43" spans="1:5" x14ac:dyDescent="0.25">
      <c r="A43" s="5" t="s">
        <v>46</v>
      </c>
      <c r="B43" s="11">
        <v>0.03</v>
      </c>
      <c r="C43" s="5" t="s">
        <v>8</v>
      </c>
    </row>
    <row r="44" spans="1:5" x14ac:dyDescent="0.25">
      <c r="A44" s="9"/>
      <c r="B44" s="9"/>
      <c r="C44" s="9"/>
      <c r="D44" s="9"/>
      <c r="E44" s="9"/>
    </row>
    <row r="45" spans="1:5" ht="18" customHeight="1" x14ac:dyDescent="0.25">
      <c r="A45" s="2" t="s">
        <v>47</v>
      </c>
      <c r="B45" s="2"/>
      <c r="C45" s="2"/>
      <c r="D45" s="2"/>
      <c r="E45" s="2"/>
    </row>
    <row r="46" spans="1:5" x14ac:dyDescent="0.25">
      <c r="A46" s="7" t="s">
        <v>48</v>
      </c>
      <c r="B46" s="8">
        <v>0</v>
      </c>
      <c r="C46" s="9"/>
      <c r="D46" s="9"/>
      <c r="E46" s="9"/>
    </row>
    <row r="47" spans="1:5" x14ac:dyDescent="0.25">
      <c r="A47" s="5" t="s">
        <v>49</v>
      </c>
      <c r="B47" s="16">
        <v>15000</v>
      </c>
      <c r="C47" s="5" t="s">
        <v>50</v>
      </c>
    </row>
    <row r="48" spans="1:5" x14ac:dyDescent="0.25">
      <c r="A48" s="7" t="s">
        <v>51</v>
      </c>
      <c r="B48" s="14">
        <v>200</v>
      </c>
      <c r="C48" s="7" t="s">
        <v>52</v>
      </c>
      <c r="D48" s="9"/>
      <c r="E48" s="9"/>
    </row>
    <row r="49" spans="1:5" x14ac:dyDescent="0.25">
      <c r="A49" s="5" t="s">
        <v>53</v>
      </c>
      <c r="B49" s="6">
        <v>5</v>
      </c>
    </row>
    <row r="50" spans="1:5" x14ac:dyDescent="0.25">
      <c r="A50" s="9"/>
      <c r="B50" s="9"/>
      <c r="C50" s="9"/>
      <c r="D50" s="9"/>
      <c r="E50" s="9"/>
    </row>
    <row r="51" spans="1:5" ht="18" customHeight="1" x14ac:dyDescent="0.25">
      <c r="A51" s="2" t="s">
        <v>54</v>
      </c>
      <c r="B51" s="2"/>
      <c r="C51" s="2"/>
      <c r="D51" s="2"/>
      <c r="E51" s="2"/>
    </row>
    <row r="52" spans="1:5" x14ac:dyDescent="0.25">
      <c r="A52" s="7" t="s">
        <v>55</v>
      </c>
      <c r="B52" s="14">
        <v>0</v>
      </c>
      <c r="C52" s="7" t="s">
        <v>50</v>
      </c>
      <c r="D52" s="9"/>
      <c r="E52" s="9"/>
    </row>
    <row r="53" spans="1:5" x14ac:dyDescent="0.25">
      <c r="A53" s="5" t="s">
        <v>56</v>
      </c>
      <c r="B53" s="16">
        <v>300</v>
      </c>
      <c r="C53" s="5" t="s">
        <v>50</v>
      </c>
    </row>
    <row r="54" spans="1:5" x14ac:dyDescent="0.25">
      <c r="A54" s="7" t="s">
        <v>57</v>
      </c>
      <c r="B54" s="14">
        <v>150</v>
      </c>
      <c r="C54" s="7" t="s">
        <v>50</v>
      </c>
      <c r="D54" s="9"/>
      <c r="E54" s="9"/>
    </row>
    <row r="55" spans="1:5" x14ac:dyDescent="0.25">
      <c r="A55" s="5" t="s">
        <v>51</v>
      </c>
      <c r="B55" s="16">
        <v>200</v>
      </c>
      <c r="C55" s="5" t="s">
        <v>50</v>
      </c>
    </row>
    <row r="56" spans="1:5" x14ac:dyDescent="0.25">
      <c r="A56" s="7" t="s">
        <v>58</v>
      </c>
      <c r="B56" s="14">
        <v>800</v>
      </c>
      <c r="C56" s="7" t="s">
        <v>50</v>
      </c>
      <c r="D56" s="9"/>
      <c r="E56" s="9"/>
    </row>
    <row r="57" spans="1:5" x14ac:dyDescent="0.25">
      <c r="A57" s="5" t="s">
        <v>59</v>
      </c>
      <c r="B57" s="16">
        <v>100</v>
      </c>
      <c r="C57" s="5" t="s">
        <v>50</v>
      </c>
    </row>
    <row r="58" spans="1:5" x14ac:dyDescent="0.25">
      <c r="A58" s="7" t="s">
        <v>60</v>
      </c>
      <c r="B58" s="14">
        <v>0</v>
      </c>
      <c r="C58" s="7" t="s">
        <v>50</v>
      </c>
      <c r="D58" s="9"/>
      <c r="E58" s="9"/>
    </row>
    <row r="59" spans="1:5" x14ac:dyDescent="0.25">
      <c r="A59" s="5" t="s">
        <v>61</v>
      </c>
      <c r="B59" s="11">
        <v>2.5000000000000001E-2</v>
      </c>
      <c r="C59" s="5" t="s">
        <v>8</v>
      </c>
    </row>
    <row r="60" spans="1:5" x14ac:dyDescent="0.25">
      <c r="A60" s="9"/>
      <c r="B60" s="9"/>
      <c r="C60" s="9"/>
      <c r="D60" s="9"/>
      <c r="E60" s="9"/>
    </row>
    <row r="61" spans="1:5" ht="18" customHeight="1" x14ac:dyDescent="0.25">
      <c r="A61" s="2" t="s">
        <v>62</v>
      </c>
      <c r="B61" s="2"/>
      <c r="C61" s="2"/>
      <c r="D61" s="2"/>
      <c r="E61" s="2"/>
    </row>
    <row r="62" spans="1:5" x14ac:dyDescent="0.25">
      <c r="A62" s="7" t="s">
        <v>63</v>
      </c>
      <c r="B62" s="8">
        <v>1</v>
      </c>
      <c r="C62" s="9"/>
      <c r="D62" s="9"/>
      <c r="E62" s="9"/>
    </row>
    <row r="63" spans="1:5" x14ac:dyDescent="0.25">
      <c r="A63" s="5" t="s">
        <v>64</v>
      </c>
      <c r="B63" s="16">
        <v>2500000</v>
      </c>
      <c r="C63" s="5" t="s">
        <v>50</v>
      </c>
    </row>
    <row r="64" spans="1:5" x14ac:dyDescent="0.25">
      <c r="A64" s="7" t="s">
        <v>65</v>
      </c>
      <c r="B64" s="10">
        <v>0.25</v>
      </c>
      <c r="C64" s="7" t="s">
        <v>8</v>
      </c>
      <c r="D64" s="9"/>
      <c r="E64" s="9"/>
    </row>
    <row r="65" spans="1:5" x14ac:dyDescent="0.25">
      <c r="A65" s="5" t="s">
        <v>66</v>
      </c>
      <c r="B65" s="11">
        <v>7.0000000000000007E-2</v>
      </c>
      <c r="C65" s="5" t="s">
        <v>8</v>
      </c>
    </row>
    <row r="66" spans="1:5" x14ac:dyDescent="0.25">
      <c r="A66" s="7" t="s">
        <v>67</v>
      </c>
      <c r="B66" s="8">
        <v>25</v>
      </c>
      <c r="C66" s="7" t="s">
        <v>68</v>
      </c>
      <c r="D66" s="9"/>
      <c r="E66" s="9"/>
    </row>
  </sheetData>
  <mergeCells count="12">
    <mergeCell ref="A51:E51"/>
    <mergeCell ref="A61:E61"/>
    <mergeCell ref="A21:B21"/>
    <mergeCell ref="A27:E27"/>
    <mergeCell ref="A33:E33"/>
    <mergeCell ref="A38:E38"/>
    <mergeCell ref="A45:E45"/>
    <mergeCell ref="A1:E1"/>
    <mergeCell ref="A2:E2"/>
    <mergeCell ref="A4:E4"/>
    <mergeCell ref="A13:E13"/>
    <mergeCell ref="A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0"/>
  <sheetViews>
    <sheetView tabSelected="1" topLeftCell="A27" zoomScaleNormal="100" workbookViewId="0">
      <selection activeCell="D38" sqref="D38"/>
    </sheetView>
  </sheetViews>
  <sheetFormatPr defaultColWidth="8.7109375" defaultRowHeight="15" x14ac:dyDescent="0.25"/>
  <cols>
    <col min="1" max="1" width="34" customWidth="1"/>
    <col min="2" max="5" width="18" customWidth="1"/>
  </cols>
  <sheetData>
    <row r="1" spans="1:5" ht="27.75" customHeight="1" x14ac:dyDescent="0.25">
      <c r="A1" s="4" t="s">
        <v>69</v>
      </c>
      <c r="B1" s="4"/>
      <c r="C1" s="4"/>
      <c r="D1" s="4"/>
      <c r="E1" s="4"/>
    </row>
    <row r="2" spans="1:5" x14ac:dyDescent="0.25">
      <c r="A2" s="3" t="s">
        <v>70</v>
      </c>
      <c r="B2" s="3"/>
      <c r="C2" s="3"/>
      <c r="D2" s="3"/>
      <c r="E2" s="3"/>
    </row>
    <row r="3" spans="1:5" x14ac:dyDescent="0.25">
      <c r="A3" s="18"/>
      <c r="B3" s="19" t="s">
        <v>71</v>
      </c>
      <c r="C3" s="19" t="s">
        <v>72</v>
      </c>
      <c r="D3" s="19" t="s">
        <v>73</v>
      </c>
      <c r="E3" s="19" t="s">
        <v>74</v>
      </c>
    </row>
    <row r="4" spans="1:5" ht="15.75" customHeight="1" x14ac:dyDescent="0.25">
      <c r="A4" s="2" t="s">
        <v>75</v>
      </c>
      <c r="B4" s="2"/>
      <c r="C4" s="2"/>
      <c r="D4" s="2"/>
      <c r="E4" s="2"/>
    </row>
    <row r="5" spans="1:5" x14ac:dyDescent="0.25">
      <c r="A5" s="5" t="s">
        <v>3</v>
      </c>
      <c r="B5" s="20">
        <f>Calcs!B4</f>
        <v>55</v>
      </c>
    </row>
    <row r="6" spans="1:5" x14ac:dyDescent="0.25">
      <c r="A6" s="5" t="s">
        <v>76</v>
      </c>
      <c r="B6" s="20">
        <f>Calcs!B6</f>
        <v>35</v>
      </c>
    </row>
    <row r="7" spans="1:5" x14ac:dyDescent="0.25">
      <c r="A7" s="5" t="s">
        <v>77</v>
      </c>
      <c r="B7" s="20">
        <f>Calcs!B5</f>
        <v>20</v>
      </c>
    </row>
    <row r="8" spans="1:5" x14ac:dyDescent="0.25">
      <c r="A8" s="5" t="s">
        <v>78</v>
      </c>
      <c r="B8" s="20">
        <f>Calcs!B2</f>
        <v>5</v>
      </c>
    </row>
    <row r="9" spans="1:5" x14ac:dyDescent="0.25">
      <c r="A9" s="5" t="s">
        <v>32</v>
      </c>
      <c r="B9" s="20">
        <f>Calcs!B3</f>
        <v>20</v>
      </c>
    </row>
    <row r="10" spans="1:5" x14ac:dyDescent="0.25">
      <c r="A10" s="5" t="s">
        <v>79</v>
      </c>
      <c r="B10" s="20">
        <f>Calcs!B9</f>
        <v>19.25</v>
      </c>
    </row>
    <row r="11" spans="1:5" x14ac:dyDescent="0.25">
      <c r="A11" s="5" t="s">
        <v>80</v>
      </c>
      <c r="B11" s="20">
        <f>Calcs!B10</f>
        <v>35.75</v>
      </c>
    </row>
    <row r="13" spans="1:5" ht="15.75" customHeight="1" x14ac:dyDescent="0.25">
      <c r="A13" s="2" t="s">
        <v>81</v>
      </c>
      <c r="B13" s="2"/>
      <c r="C13" s="2"/>
      <c r="D13" s="2"/>
      <c r="E13" s="2"/>
    </row>
    <row r="14" spans="1:5" x14ac:dyDescent="0.25">
      <c r="A14" s="5" t="s">
        <v>82</v>
      </c>
      <c r="B14" s="21">
        <f>Calcs!B27</f>
        <v>5.3225806451612909</v>
      </c>
    </row>
    <row r="15" spans="1:5" x14ac:dyDescent="0.25">
      <c r="A15" s="5" t="s">
        <v>83</v>
      </c>
      <c r="B15" s="21">
        <f>Calcs!B11</f>
        <v>9.625</v>
      </c>
    </row>
    <row r="16" spans="1:5" x14ac:dyDescent="0.25">
      <c r="A16" s="5" t="s">
        <v>84</v>
      </c>
      <c r="B16" s="21">
        <f>Calcs!B29</f>
        <v>95.141129032258078</v>
      </c>
    </row>
    <row r="17" spans="1:5" x14ac:dyDescent="0.25">
      <c r="A17" s="5" t="s">
        <v>85</v>
      </c>
      <c r="B17" s="21">
        <f>Calcs!B80</f>
        <v>104.76612903225808</v>
      </c>
    </row>
    <row r="18" spans="1:5" x14ac:dyDescent="0.25">
      <c r="A18" s="5" t="s">
        <v>86</v>
      </c>
      <c r="B18" s="22">
        <f>Calcs!B81</f>
        <v>12.712406666153491</v>
      </c>
    </row>
    <row r="20" spans="1:5" ht="15.75" customHeight="1" x14ac:dyDescent="0.25">
      <c r="A20" s="2" t="s">
        <v>87</v>
      </c>
      <c r="B20" s="2"/>
      <c r="C20" s="2"/>
      <c r="D20" s="2"/>
      <c r="E20" s="2"/>
    </row>
    <row r="21" spans="1:5" x14ac:dyDescent="0.25">
      <c r="A21" s="5" t="s">
        <v>88</v>
      </c>
      <c r="B21" s="22">
        <f>Calcs!B24</f>
        <v>268.84375</v>
      </c>
      <c r="C21" s="22">
        <f>Calcs!B24*Inputs!B7</f>
        <v>1881.90625</v>
      </c>
      <c r="D21" s="22">
        <f>Calcs!B24*Calcs!B45</f>
        <v>8148.6540625000007</v>
      </c>
      <c r="E21" s="22">
        <f>Calcs!B24*Calcs!B46</f>
        <v>97859.125</v>
      </c>
    </row>
    <row r="22" spans="1:5" x14ac:dyDescent="0.25">
      <c r="A22" s="5" t="s">
        <v>89</v>
      </c>
      <c r="B22" s="22">
        <f>Calcs!B37</f>
        <v>1062.9858870967744</v>
      </c>
      <c r="C22" s="22">
        <f>Calcs!B37*Inputs!B7</f>
        <v>7440.9012096774204</v>
      </c>
      <c r="D22" s="22">
        <f>Calcs!B37*Calcs!B45</f>
        <v>32219.102237903233</v>
      </c>
      <c r="E22" s="22">
        <f>Calcs!B37*Calcs!B46</f>
        <v>386926.86290322588</v>
      </c>
    </row>
    <row r="23" spans="1:5" x14ac:dyDescent="0.25">
      <c r="A23" s="5" t="s">
        <v>90</v>
      </c>
      <c r="B23" s="22">
        <f>Calcs!B39</f>
        <v>75</v>
      </c>
      <c r="C23" s="22">
        <f>Calcs!B39*Inputs!B7</f>
        <v>525</v>
      </c>
      <c r="D23" s="22">
        <f>Calcs!B39*Calcs!B45</f>
        <v>2273.25</v>
      </c>
      <c r="E23" s="22">
        <f>Calcs!B39*Calcs!B46</f>
        <v>27300</v>
      </c>
    </row>
    <row r="24" spans="1:5" x14ac:dyDescent="0.25">
      <c r="A24" s="5" t="s">
        <v>91</v>
      </c>
      <c r="B24" s="22">
        <f>Calcs!B40</f>
        <v>300</v>
      </c>
      <c r="C24" s="22">
        <f>Calcs!B40*Inputs!B7</f>
        <v>2100</v>
      </c>
      <c r="D24" s="22">
        <f>Calcs!B40*Calcs!B45</f>
        <v>9093</v>
      </c>
      <c r="E24" s="22">
        <f>Calcs!B40*Calcs!B46</f>
        <v>109200</v>
      </c>
    </row>
    <row r="25" spans="1:5" x14ac:dyDescent="0.25">
      <c r="A25" s="5" t="s">
        <v>92</v>
      </c>
      <c r="B25" s="23">
        <f>Calcs!B41</f>
        <v>1706.8296370967744</v>
      </c>
      <c r="C25" s="23">
        <f>Calcs!B41*Inputs!B7</f>
        <v>11947.80745967742</v>
      </c>
      <c r="D25" s="23">
        <f>Calcs!B41*Calcs!B45</f>
        <v>51734.006300403234</v>
      </c>
      <c r="E25" s="23">
        <f>Calcs!B41*Calcs!B46</f>
        <v>621285.98790322582</v>
      </c>
    </row>
    <row r="26" spans="1:5" x14ac:dyDescent="0.25">
      <c r="A26" s="5" t="s">
        <v>93</v>
      </c>
      <c r="B26" s="22">
        <f>-Calcs!B42</f>
        <v>-284.47160618279571</v>
      </c>
      <c r="C26" s="22">
        <f>-Calcs!B42*Inputs!B7</f>
        <v>-1991.3012432795699</v>
      </c>
      <c r="D26" s="22">
        <f>-Calcs!B42*Calcs!B45</f>
        <v>-8622.3343834005391</v>
      </c>
      <c r="E26" s="22">
        <f>-Calcs!B42*Calcs!B46</f>
        <v>-103547.66465053764</v>
      </c>
    </row>
    <row r="27" spans="1:5" x14ac:dyDescent="0.25">
      <c r="A27" s="5" t="s">
        <v>94</v>
      </c>
      <c r="B27" s="22">
        <f>-Calcs!B43</f>
        <v>-42.670740927419359</v>
      </c>
      <c r="C27" s="22">
        <f>-Calcs!B43*Inputs!B7</f>
        <v>-298.69518649193549</v>
      </c>
      <c r="D27" s="22">
        <f>-Calcs!B43*Calcs!B45</f>
        <v>-1293.3501575100809</v>
      </c>
      <c r="E27" s="22">
        <f>-Calcs!B43*Calcs!B46</f>
        <v>-15532.149697580648</v>
      </c>
    </row>
    <row r="28" spans="1:5" x14ac:dyDescent="0.25">
      <c r="A28" s="24" t="s">
        <v>95</v>
      </c>
      <c r="B28" s="25">
        <f>Calcs!B44</f>
        <v>1379.6872899865593</v>
      </c>
      <c r="C28" s="25">
        <f>Calcs!B44*Inputs!B7</f>
        <v>9657.8110299059153</v>
      </c>
      <c r="D28" s="25">
        <f>Calcs!B44*Calcs!B45</f>
        <v>41818.321759492617</v>
      </c>
      <c r="E28" s="25">
        <f>Calcs!B44*Calcs!B46</f>
        <v>502206.17355510761</v>
      </c>
    </row>
    <row r="30" spans="1:5" ht="15.75" customHeight="1" x14ac:dyDescent="0.25">
      <c r="A30" s="2" t="s">
        <v>96</v>
      </c>
      <c r="B30" s="2"/>
      <c r="C30" s="2"/>
      <c r="D30" s="2"/>
      <c r="E30" s="2"/>
    </row>
    <row r="31" spans="1:5" x14ac:dyDescent="0.25">
      <c r="A31" s="5" t="s">
        <v>97</v>
      </c>
      <c r="B31" s="22">
        <f>Calcs!B47</f>
        <v>132</v>
      </c>
      <c r="C31" s="22">
        <f>Calcs!B47*Inputs!B7</f>
        <v>924</v>
      </c>
      <c r="D31" s="22">
        <f>Calcs!B47*Calcs!B45</f>
        <v>4000.92</v>
      </c>
      <c r="E31" s="22">
        <f>Calcs!B47*Calcs!B46</f>
        <v>48048</v>
      </c>
    </row>
    <row r="32" spans="1:5" x14ac:dyDescent="0.25">
      <c r="A32" s="5" t="s">
        <v>98</v>
      </c>
      <c r="B32" s="22">
        <f>Calcs!B48</f>
        <v>18.216000000000001</v>
      </c>
      <c r="C32" s="22">
        <f>Calcs!B48*Inputs!B7</f>
        <v>127.512</v>
      </c>
      <c r="D32" s="22">
        <f>Calcs!B48*Calcs!B45</f>
        <v>552.12696000000005</v>
      </c>
      <c r="E32" s="22">
        <f>Calcs!B48*Calcs!B46</f>
        <v>6630.6240000000007</v>
      </c>
    </row>
    <row r="33" spans="1:5" x14ac:dyDescent="0.25">
      <c r="A33" s="5" t="s">
        <v>99</v>
      </c>
      <c r="B33" s="22">
        <f>Calcs!B49</f>
        <v>3.96</v>
      </c>
      <c r="C33" s="22">
        <f>Calcs!B49*Inputs!B7</f>
        <v>27.72</v>
      </c>
      <c r="D33" s="22">
        <f>Calcs!B49*Calcs!B45</f>
        <v>120.02760000000001</v>
      </c>
      <c r="E33" s="22">
        <f>Calcs!B49*Calcs!B46</f>
        <v>1441.44</v>
      </c>
    </row>
    <row r="34" spans="1:5" x14ac:dyDescent="0.25">
      <c r="A34" s="5" t="s">
        <v>100</v>
      </c>
      <c r="B34" s="22">
        <f>Calcs!B53</f>
        <v>0</v>
      </c>
      <c r="C34" s="22">
        <f>Calcs!B53*Inputs!B7</f>
        <v>0</v>
      </c>
      <c r="D34" s="22">
        <f>Calcs!B53*Calcs!B45</f>
        <v>0</v>
      </c>
      <c r="E34" s="22">
        <f>Calcs!B53*Calcs!B46</f>
        <v>0</v>
      </c>
    </row>
    <row r="35" spans="1:5" x14ac:dyDescent="0.25">
      <c r="A35" s="5" t="s">
        <v>101</v>
      </c>
      <c r="B35" s="22">
        <f>Calcs!B54</f>
        <v>0</v>
      </c>
      <c r="C35" s="22">
        <f>Calcs!B54*Inputs!B7</f>
        <v>0</v>
      </c>
      <c r="D35" s="22">
        <f>Calcs!B54*Calcs!B45</f>
        <v>0</v>
      </c>
      <c r="E35" s="22">
        <f>Calcs!B54*Calcs!B46</f>
        <v>0</v>
      </c>
    </row>
    <row r="36" spans="1:5" x14ac:dyDescent="0.25">
      <c r="A36" s="5" t="s">
        <v>102</v>
      </c>
      <c r="B36" s="22">
        <f>Calcs!B55</f>
        <v>9.8977235235895744</v>
      </c>
      <c r="C36" s="22">
        <f>Calcs!B55*Inputs!B7</f>
        <v>69.284064665127019</v>
      </c>
      <c r="D36" s="22">
        <f>Calcs!B55*Calcs!B45</f>
        <v>300</v>
      </c>
      <c r="E36" s="22">
        <f>Calcs!B55*Calcs!B46</f>
        <v>3602.7713625866049</v>
      </c>
    </row>
    <row r="37" spans="1:5" x14ac:dyDescent="0.25">
      <c r="A37" s="5" t="s">
        <v>103</v>
      </c>
      <c r="B37" s="22">
        <f>Calcs!B56</f>
        <v>4.9488617617947872</v>
      </c>
      <c r="C37" s="22">
        <f>Calcs!B56*Inputs!B7</f>
        <v>34.64203233256351</v>
      </c>
      <c r="D37" s="22">
        <f>Calcs!B56*Calcs!B45</f>
        <v>150</v>
      </c>
      <c r="E37" s="22">
        <f>Calcs!B56*Calcs!B46</f>
        <v>1801.3856812933025</v>
      </c>
    </row>
    <row r="38" spans="1:5" x14ac:dyDescent="0.25">
      <c r="A38" s="5" t="s">
        <v>104</v>
      </c>
      <c r="B38" s="22">
        <f>Calcs!B57</f>
        <v>6.598482349059716</v>
      </c>
      <c r="C38" s="22">
        <f>Calcs!B57*Inputs!B7</f>
        <v>46.189376443418013</v>
      </c>
      <c r="D38" s="22">
        <f>Calcs!B57*Calcs!B45</f>
        <v>200</v>
      </c>
      <c r="E38" s="22">
        <f>Calcs!B57*Calcs!B46</f>
        <v>2401.8475750577368</v>
      </c>
    </row>
    <row r="39" spans="1:5" x14ac:dyDescent="0.25">
      <c r="A39" s="5" t="s">
        <v>105</v>
      </c>
      <c r="B39" s="22">
        <f>Calcs!B58</f>
        <v>26.393929396238864</v>
      </c>
      <c r="C39" s="22">
        <f>Calcs!B58*Inputs!B7</f>
        <v>184.75750577367205</v>
      </c>
      <c r="D39" s="22">
        <f>Calcs!B58*Calcs!B45</f>
        <v>800</v>
      </c>
      <c r="E39" s="22">
        <f>Calcs!B58*Calcs!B46</f>
        <v>9607.3903002309471</v>
      </c>
    </row>
    <row r="40" spans="1:5" x14ac:dyDescent="0.25">
      <c r="A40" s="5" t="s">
        <v>106</v>
      </c>
      <c r="B40" s="22">
        <f>Calcs!B59</f>
        <v>3.299241174529858</v>
      </c>
      <c r="C40" s="22">
        <f>Calcs!B59*Inputs!B7</f>
        <v>23.094688221709006</v>
      </c>
      <c r="D40" s="22">
        <f>Calcs!B59*Calcs!B45</f>
        <v>100</v>
      </c>
      <c r="E40" s="22">
        <f>Calcs!B59*Calcs!B46</f>
        <v>1200.9237875288684</v>
      </c>
    </row>
    <row r="41" spans="1:5" x14ac:dyDescent="0.25">
      <c r="A41" s="5" t="s">
        <v>107</v>
      </c>
      <c r="B41" s="22">
        <f>Calcs!B60</f>
        <v>0</v>
      </c>
      <c r="C41" s="22">
        <f>Calcs!B60*Inputs!B7</f>
        <v>0</v>
      </c>
      <c r="D41" s="22">
        <f>Calcs!B60*Calcs!B45</f>
        <v>0</v>
      </c>
      <c r="E41" s="22">
        <f>Calcs!B60*Calcs!B46</f>
        <v>0</v>
      </c>
    </row>
    <row r="42" spans="1:5" x14ac:dyDescent="0.25">
      <c r="A42" s="5" t="s">
        <v>108</v>
      </c>
      <c r="B42" s="22">
        <f>Calcs!B66</f>
        <v>437.21906792833903</v>
      </c>
      <c r="C42" s="22">
        <f>Calcs!B66*Inputs!B7</f>
        <v>3060.5334754983733</v>
      </c>
      <c r="D42" s="22">
        <f>Calcs!B66*Calcs!B45</f>
        <v>13252.109948907957</v>
      </c>
      <c r="E42" s="22">
        <f>Calcs!B66*Calcs!B46</f>
        <v>159147.74072591541</v>
      </c>
    </row>
    <row r="43" spans="1:5" x14ac:dyDescent="0.25">
      <c r="A43" s="24" t="s">
        <v>109</v>
      </c>
      <c r="B43" s="25">
        <f>Calcs!B69</f>
        <v>642.53330613355183</v>
      </c>
      <c r="C43" s="25">
        <f>Calcs!B69*Inputs!B7</f>
        <v>4497.7331429348633</v>
      </c>
      <c r="D43" s="25">
        <f>Calcs!B69*Calcs!B45</f>
        <v>19475.184508907958</v>
      </c>
      <c r="E43" s="25">
        <f>Calcs!B69*Calcs!B46</f>
        <v>233882.12343261286</v>
      </c>
    </row>
    <row r="45" spans="1:5" ht="15.75" customHeight="1" x14ac:dyDescent="0.25">
      <c r="A45" s="2" t="s">
        <v>110</v>
      </c>
      <c r="B45" s="2"/>
      <c r="C45" s="2"/>
      <c r="D45" s="2"/>
      <c r="E45" s="2"/>
    </row>
    <row r="46" spans="1:5" x14ac:dyDescent="0.25">
      <c r="A46" s="5" t="s">
        <v>95</v>
      </c>
      <c r="B46" s="23">
        <f>Calcs!B44</f>
        <v>1379.6872899865593</v>
      </c>
      <c r="C46" s="23">
        <f>Calcs!B44*Inputs!B7</f>
        <v>9657.8110299059153</v>
      </c>
      <c r="D46" s="23">
        <f>Calcs!B44*Calcs!B45</f>
        <v>41818.321759492617</v>
      </c>
      <c r="E46" s="23">
        <f>Calcs!B44*Calcs!B46</f>
        <v>502206.17355510761</v>
      </c>
    </row>
    <row r="47" spans="1:5" x14ac:dyDescent="0.25">
      <c r="A47" s="5" t="s">
        <v>109</v>
      </c>
      <c r="B47" s="23">
        <f>Calcs!B69</f>
        <v>642.53330613355183</v>
      </c>
      <c r="C47" s="23">
        <f>Calcs!B69*Inputs!B7</f>
        <v>4497.7331429348633</v>
      </c>
      <c r="D47" s="23">
        <f>Calcs!B69*Calcs!B45</f>
        <v>19475.184508907958</v>
      </c>
      <c r="E47" s="23">
        <f>Calcs!B69*Calcs!B46</f>
        <v>233882.12343261286</v>
      </c>
    </row>
    <row r="48" spans="1:5" x14ac:dyDescent="0.25">
      <c r="A48" s="24" t="s">
        <v>111</v>
      </c>
      <c r="B48" s="25">
        <f>Calcs!B70</f>
        <v>737.1539838530075</v>
      </c>
      <c r="C48" s="25">
        <f>Calcs!B70*Inputs!B7</f>
        <v>5160.0778869710521</v>
      </c>
      <c r="D48" s="25">
        <f>Calcs!B70*Calcs!B45</f>
        <v>22343.137250584659</v>
      </c>
      <c r="E48" s="25">
        <f>Calcs!B70*Calcs!B46</f>
        <v>268324.05012249475</v>
      </c>
    </row>
    <row r="50" spans="1:5" ht="15.75" customHeight="1" x14ac:dyDescent="0.25">
      <c r="A50" s="2" t="s">
        <v>112</v>
      </c>
      <c r="B50" s="2"/>
      <c r="C50" s="2"/>
      <c r="D50" s="2"/>
      <c r="E50" s="2"/>
    </row>
    <row r="51" spans="1:5" x14ac:dyDescent="0.25">
      <c r="A51" s="5" t="s">
        <v>113</v>
      </c>
      <c r="B51" s="26">
        <f>Calcs!B61</f>
        <v>625000</v>
      </c>
    </row>
    <row r="52" spans="1:5" x14ac:dyDescent="0.25">
      <c r="A52" s="5" t="s">
        <v>114</v>
      </c>
      <c r="B52" s="26">
        <f>Calcs!B62</f>
        <v>1875000</v>
      </c>
    </row>
    <row r="53" spans="1:5" x14ac:dyDescent="0.25">
      <c r="A53" s="5" t="s">
        <v>115</v>
      </c>
      <c r="B53" s="26">
        <f>Calcs!B65</f>
        <v>13252.109948907957</v>
      </c>
    </row>
    <row r="54" spans="1:5" x14ac:dyDescent="0.25">
      <c r="A54" s="5" t="s">
        <v>116</v>
      </c>
      <c r="B54" s="26">
        <f>Calcs!B67</f>
        <v>3975632.9846723871</v>
      </c>
    </row>
    <row r="55" spans="1:5" x14ac:dyDescent="0.25">
      <c r="A55" s="5" t="s">
        <v>117</v>
      </c>
      <c r="B55" s="26">
        <f>Calcs!B68</f>
        <v>2100632.9846723871</v>
      </c>
    </row>
    <row r="57" spans="1:5" ht="15.75" customHeight="1" x14ac:dyDescent="0.25">
      <c r="A57" s="2" t="s">
        <v>118</v>
      </c>
      <c r="B57" s="2"/>
      <c r="C57" s="2"/>
      <c r="D57" s="2"/>
      <c r="E57" s="2"/>
    </row>
    <row r="58" spans="1:5" x14ac:dyDescent="0.25">
      <c r="A58" s="5" t="s">
        <v>119</v>
      </c>
      <c r="B58" s="27">
        <f>Calcs!B85</f>
        <v>0.15713761494677869</v>
      </c>
    </row>
    <row r="59" spans="1:5" x14ac:dyDescent="0.25">
      <c r="A59" s="5" t="s">
        <v>120</v>
      </c>
      <c r="B59" s="28">
        <f>Inputs!B8</f>
        <v>0.5</v>
      </c>
    </row>
    <row r="60" spans="1:5" x14ac:dyDescent="0.25">
      <c r="A60" s="5" t="s">
        <v>121</v>
      </c>
      <c r="B60" s="27">
        <f>Inputs!B8-Calcs!B85</f>
        <v>0.34286238505322131</v>
      </c>
    </row>
  </sheetData>
  <mergeCells count="9">
    <mergeCell ref="A30:E30"/>
    <mergeCell ref="A45:E45"/>
    <mergeCell ref="A50:E50"/>
    <mergeCell ref="A57:E57"/>
    <mergeCell ref="A1:E1"/>
    <mergeCell ref="A2:E2"/>
    <mergeCell ref="A4:E4"/>
    <mergeCell ref="A13:E13"/>
    <mergeCell ref="A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5"/>
  <sheetViews>
    <sheetView zoomScaleNormal="100" workbookViewId="0"/>
  </sheetViews>
  <sheetFormatPr defaultColWidth="8.7109375" defaultRowHeight="15" x14ac:dyDescent="0.25"/>
  <cols>
    <col min="1" max="1" width="40" customWidth="1"/>
    <col min="2" max="2" width="28" customWidth="1"/>
  </cols>
  <sheetData>
    <row r="1" spans="1:2" x14ac:dyDescent="0.25">
      <c r="A1" s="29" t="s">
        <v>122</v>
      </c>
    </row>
    <row r="2" spans="1:2" x14ac:dyDescent="0.25">
      <c r="A2" t="s">
        <v>123</v>
      </c>
      <c r="B2" s="30">
        <f>MIN(Inputs!B28,Inputs!B5)</f>
        <v>5</v>
      </c>
    </row>
    <row r="3" spans="1:2" x14ac:dyDescent="0.25">
      <c r="A3" t="s">
        <v>124</v>
      </c>
      <c r="B3" s="30">
        <f>MIN(Inputs!B30,Inputs!B5-Calcs!B2)</f>
        <v>20</v>
      </c>
    </row>
    <row r="4" spans="1:2" x14ac:dyDescent="0.25">
      <c r="A4" t="s">
        <v>80</v>
      </c>
      <c r="B4" s="30">
        <f>MAX(0,Inputs!B5-Calcs!B2-Calcs!B3)</f>
        <v>55</v>
      </c>
    </row>
    <row r="5" spans="1:2" x14ac:dyDescent="0.25">
      <c r="A5" t="s">
        <v>125</v>
      </c>
      <c r="B5" s="30">
        <f>MIN(Inputs!B34,Calcs!B4)</f>
        <v>20</v>
      </c>
    </row>
    <row r="6" spans="1:2" x14ac:dyDescent="0.25">
      <c r="A6" t="s">
        <v>126</v>
      </c>
      <c r="B6" s="30">
        <f>Calcs!B4-Calcs!B5</f>
        <v>35</v>
      </c>
    </row>
    <row r="7" spans="1:2" x14ac:dyDescent="0.25">
      <c r="A7" t="s">
        <v>127</v>
      </c>
      <c r="B7" s="30">
        <f>IF(Calcs!B4&gt;0,Calcs!B6/Calcs!B4,1)</f>
        <v>0.63636363636363635</v>
      </c>
    </row>
    <row r="8" spans="1:2" x14ac:dyDescent="0.25">
      <c r="A8" t="s">
        <v>128</v>
      </c>
      <c r="B8" s="30">
        <f>IF(Calcs!B4&gt;0,Calcs!B5/Calcs!B4,0)</f>
        <v>0.36363636363636365</v>
      </c>
    </row>
    <row r="9" spans="1:2" x14ac:dyDescent="0.25">
      <c r="A9" t="s">
        <v>79</v>
      </c>
      <c r="B9" s="30">
        <f>Calcs!B4*Inputs!B11</f>
        <v>19.25</v>
      </c>
    </row>
    <row r="10" spans="1:2" x14ac:dyDescent="0.25">
      <c r="A10" t="s">
        <v>129</v>
      </c>
      <c r="B10" s="30">
        <f>Calcs!B4*(1-Inputs!B11)</f>
        <v>35.75</v>
      </c>
    </row>
    <row r="11" spans="1:2" x14ac:dyDescent="0.25">
      <c r="A11" t="s">
        <v>130</v>
      </c>
      <c r="B11" s="30">
        <f>Calcs!B9*Inputs!B8</f>
        <v>9.625</v>
      </c>
    </row>
    <row r="12" spans="1:2" x14ac:dyDescent="0.25">
      <c r="A12" t="s">
        <v>131</v>
      </c>
      <c r="B12" s="31">
        <f>Inputs!B14+Inputs!B15+Inputs!B16+Inputs!B17</f>
        <v>1</v>
      </c>
    </row>
    <row r="13" spans="1:2" x14ac:dyDescent="0.25">
      <c r="A13" t="s">
        <v>132</v>
      </c>
      <c r="B13" s="30">
        <f>IF(Calcs!B12&gt;0,Inputs!B14/Calcs!B12,1)</f>
        <v>0.85</v>
      </c>
    </row>
    <row r="14" spans="1:2" x14ac:dyDescent="0.25">
      <c r="A14" t="s">
        <v>133</v>
      </c>
      <c r="B14" s="30">
        <f>IF(Calcs!B12&gt;0,Inputs!B15/Calcs!B12,0)</f>
        <v>0.05</v>
      </c>
    </row>
    <row r="15" spans="1:2" x14ac:dyDescent="0.25">
      <c r="A15" t="s">
        <v>134</v>
      </c>
      <c r="B15" s="30">
        <f>IF(Calcs!B12&gt;0,Inputs!B16/Calcs!B12,0)</f>
        <v>0.05</v>
      </c>
    </row>
    <row r="16" spans="1:2" x14ac:dyDescent="0.25">
      <c r="A16" t="s">
        <v>135</v>
      </c>
      <c r="B16" s="30">
        <f>IF(Calcs!B12&gt;0,Inputs!B17/Calcs!B12,0)</f>
        <v>0.05</v>
      </c>
    </row>
    <row r="17" spans="1:2" x14ac:dyDescent="0.25">
      <c r="A17" t="s">
        <v>136</v>
      </c>
      <c r="B17" s="32">
        <f>IF(Inputs!B6&gt;=Inputs!E22,Inputs!D22,MAX(4,CEILING(Inputs!B6,1)*Inputs!C22))</f>
        <v>25</v>
      </c>
    </row>
    <row r="18" spans="1:2" x14ac:dyDescent="0.25">
      <c r="A18" t="s">
        <v>137</v>
      </c>
      <c r="B18" s="32">
        <f>IF(Inputs!B6&gt;=Inputs!E23,Inputs!D23,MAX(4,CEILING(Inputs!B6,1)*Inputs!C23))</f>
        <v>30</v>
      </c>
    </row>
    <row r="19" spans="1:2" x14ac:dyDescent="0.25">
      <c r="A19" t="s">
        <v>138</v>
      </c>
      <c r="B19" s="32">
        <f>IF(Inputs!B6&gt;=Inputs!E24,Inputs!D24,MAX(4,CEILING(Inputs!B6,1)*Inputs!C24))</f>
        <v>30</v>
      </c>
    </row>
    <row r="20" spans="1:2" x14ac:dyDescent="0.25">
      <c r="A20" t="s">
        <v>139</v>
      </c>
      <c r="B20" s="32">
        <f>IF(Inputs!B6&gt;=Inputs!E25,Inputs!D25,MAX(4,CEILING(Inputs!B6,1)*Inputs!C25))</f>
        <v>50</v>
      </c>
    </row>
    <row r="21" spans="1:2" x14ac:dyDescent="0.25">
      <c r="A21" t="s">
        <v>140</v>
      </c>
      <c r="B21" s="32">
        <f>IF(Inputs!B6&gt;=5,Inputs!B36,MAX(4,CEILING(Inputs!B6,1)*Inputs!B35))</f>
        <v>30</v>
      </c>
    </row>
    <row r="22" spans="1:2" x14ac:dyDescent="0.25">
      <c r="A22" t="s">
        <v>141</v>
      </c>
      <c r="B22" s="30">
        <f>Calcs!B11*Calcs!B7*(Calcs!B13*Calcs!B17+Calcs!B14*Calcs!B18+Calcs!B15*Calcs!B19+Calcs!B16*Calcs!B20)</f>
        <v>163.84375</v>
      </c>
    </row>
    <row r="23" spans="1:2" x14ac:dyDescent="0.25">
      <c r="A23" t="s">
        <v>142</v>
      </c>
      <c r="B23" s="30">
        <f>Calcs!B11*Calcs!B8*Calcs!B21</f>
        <v>105</v>
      </c>
    </row>
    <row r="24" spans="1:2" x14ac:dyDescent="0.25">
      <c r="A24" t="s">
        <v>143</v>
      </c>
      <c r="B24" s="30">
        <f>Calcs!B22+Calcs!B23</f>
        <v>268.84375</v>
      </c>
    </row>
    <row r="25" spans="1:2" x14ac:dyDescent="0.25">
      <c r="A25" t="s">
        <v>144</v>
      </c>
      <c r="B25" s="30">
        <f>Inputs!B10/60</f>
        <v>0.16666666666666666</v>
      </c>
    </row>
    <row r="26" spans="1:2" x14ac:dyDescent="0.25">
      <c r="A26" t="s">
        <v>145</v>
      </c>
      <c r="B26" s="30">
        <f>Inputs!B9+Calcs!B25</f>
        <v>2.0666666666666664</v>
      </c>
    </row>
    <row r="27" spans="1:2" x14ac:dyDescent="0.25">
      <c r="A27" t="s">
        <v>146</v>
      </c>
      <c r="B27" s="30">
        <f>IF(Calcs!B26&gt;0,Inputs!B6/Calcs!B26,0)</f>
        <v>5.3225806451612909</v>
      </c>
    </row>
    <row r="28" spans="1:2" x14ac:dyDescent="0.25">
      <c r="A28" t="s">
        <v>147</v>
      </c>
      <c r="B28" s="30">
        <f>Calcs!B10*Inputs!B8</f>
        <v>17.875</v>
      </c>
    </row>
    <row r="29" spans="1:2" x14ac:dyDescent="0.25">
      <c r="A29" t="s">
        <v>148</v>
      </c>
      <c r="B29" s="30">
        <f>Calcs!B28*Calcs!B27</f>
        <v>95.141129032258078</v>
      </c>
    </row>
    <row r="30" spans="1:2" x14ac:dyDescent="0.25">
      <c r="A30" t="s">
        <v>149</v>
      </c>
      <c r="B30" s="30">
        <f>IF(Inputs!B9&gt;=Inputs!E22,Inputs!D22,MAX(4,CEILING(Inputs!B9,1)*Inputs!C22))</f>
        <v>10</v>
      </c>
    </row>
    <row r="31" spans="1:2" x14ac:dyDescent="0.25">
      <c r="A31" t="s">
        <v>150</v>
      </c>
      <c r="B31" s="30">
        <f>IF(Inputs!B9&gt;=Inputs!E23,Inputs!D23,MAX(4,CEILING(Inputs!B9,1)*Inputs!C23))</f>
        <v>12</v>
      </c>
    </row>
    <row r="32" spans="1:2" x14ac:dyDescent="0.25">
      <c r="A32" t="s">
        <v>151</v>
      </c>
      <c r="B32" s="30">
        <f>IF(Inputs!B9&gt;=Inputs!E24,Inputs!D24,MAX(4,CEILING(Inputs!B9,1)*Inputs!C24))</f>
        <v>12</v>
      </c>
    </row>
    <row r="33" spans="1:2" x14ac:dyDescent="0.25">
      <c r="A33" t="s">
        <v>152</v>
      </c>
      <c r="B33" s="30">
        <f>IF(Inputs!B9&gt;=Inputs!E25,Inputs!D25,MAX(4,CEILING(Inputs!B9,1)*Inputs!C25))</f>
        <v>20</v>
      </c>
    </row>
    <row r="34" spans="1:2" x14ac:dyDescent="0.25">
      <c r="A34" t="s">
        <v>153</v>
      </c>
      <c r="B34" s="30">
        <f>IF(Inputs!B9&gt;=5,Inputs!B36,MAX(4,CEILING(Inputs!B9,1)*Inputs!B35))</f>
        <v>12</v>
      </c>
    </row>
    <row r="35" spans="1:2" x14ac:dyDescent="0.25">
      <c r="A35" t="s">
        <v>154</v>
      </c>
      <c r="B35" s="30">
        <f>Calcs!B29*Calcs!B7*(Calcs!B13*Calcs!B30+Calcs!B14*Calcs!B31+Calcs!B15*Calcs!B32+Calcs!B16*Calcs!B33)</f>
        <v>647.82459677419365</v>
      </c>
    </row>
    <row r="36" spans="1:2" x14ac:dyDescent="0.25">
      <c r="A36" t="s">
        <v>155</v>
      </c>
      <c r="B36" s="30">
        <f>Calcs!B29*Calcs!B8*Calcs!B34</f>
        <v>415.16129032258073</v>
      </c>
    </row>
    <row r="37" spans="1:2" x14ac:dyDescent="0.25">
      <c r="A37" t="s">
        <v>156</v>
      </c>
      <c r="B37" s="30">
        <f>Calcs!B35+Calcs!B36</f>
        <v>1062.9858870967744</v>
      </c>
    </row>
    <row r="38" spans="1:2" x14ac:dyDescent="0.25">
      <c r="A38" t="s">
        <v>157</v>
      </c>
      <c r="B38" s="30">
        <f>Calcs!B24+Calcs!B37</f>
        <v>1331.8296370967744</v>
      </c>
    </row>
    <row r="39" spans="1:2" x14ac:dyDescent="0.25">
      <c r="A39" t="s">
        <v>158</v>
      </c>
      <c r="B39" s="30">
        <f>Calcs!B2*Inputs!B29</f>
        <v>75</v>
      </c>
    </row>
    <row r="40" spans="1:2" x14ac:dyDescent="0.25">
      <c r="A40" t="s">
        <v>159</v>
      </c>
      <c r="B40" s="30">
        <f>Calcs!B3*Inputs!B31/7</f>
        <v>300</v>
      </c>
    </row>
    <row r="41" spans="1:2" x14ac:dyDescent="0.25">
      <c r="A41" t="s">
        <v>160</v>
      </c>
      <c r="B41" s="30">
        <f>Calcs!B38+Calcs!B39+Calcs!B40</f>
        <v>1706.8296370967744</v>
      </c>
    </row>
    <row r="42" spans="1:2" x14ac:dyDescent="0.25">
      <c r="A42" t="s">
        <v>161</v>
      </c>
      <c r="B42" s="30">
        <f>Calcs!B41*(20/120)</f>
        <v>284.47160618279571</v>
      </c>
    </row>
    <row r="43" spans="1:2" x14ac:dyDescent="0.25">
      <c r="A43" t="s">
        <v>162</v>
      </c>
      <c r="B43" s="30">
        <f>Calcs!B41*Inputs!B59</f>
        <v>42.670740927419359</v>
      </c>
    </row>
    <row r="44" spans="1:2" x14ac:dyDescent="0.25">
      <c r="A44" t="s">
        <v>163</v>
      </c>
      <c r="B44" s="30">
        <f>Calcs!B41-Calcs!B42-Calcs!B43</f>
        <v>1379.6872899865593</v>
      </c>
    </row>
    <row r="45" spans="1:2" x14ac:dyDescent="0.25">
      <c r="A45" t="s">
        <v>164</v>
      </c>
      <c r="B45" s="30">
        <f>Inputs!B7*4.33</f>
        <v>30.310000000000002</v>
      </c>
    </row>
    <row r="46" spans="1:2" x14ac:dyDescent="0.25">
      <c r="A46" t="s">
        <v>165</v>
      </c>
      <c r="B46" s="30">
        <f>Inputs!B7*52</f>
        <v>364</v>
      </c>
    </row>
    <row r="47" spans="1:2" x14ac:dyDescent="0.25">
      <c r="A47" t="s">
        <v>166</v>
      </c>
      <c r="B47" s="30">
        <f>Inputs!B39*Inputs!B40*Inputs!B41</f>
        <v>132</v>
      </c>
    </row>
    <row r="48" spans="1:2" x14ac:dyDescent="0.25">
      <c r="A48" t="s">
        <v>167</v>
      </c>
      <c r="B48" s="30">
        <f>Calcs!B47*Inputs!B42</f>
        <v>18.216000000000001</v>
      </c>
    </row>
    <row r="49" spans="1:2" x14ac:dyDescent="0.25">
      <c r="A49" t="s">
        <v>168</v>
      </c>
      <c r="B49" s="30">
        <f>Calcs!B47*Inputs!B43</f>
        <v>3.96</v>
      </c>
    </row>
    <row r="50" spans="1:2" x14ac:dyDescent="0.25">
      <c r="A50" t="s">
        <v>169</v>
      </c>
      <c r="B50" s="30">
        <f>Calcs!B47+Calcs!B48+Calcs!B49</f>
        <v>154.17600000000002</v>
      </c>
    </row>
    <row r="51" spans="1:2" x14ac:dyDescent="0.25">
      <c r="A51" t="s">
        <v>170</v>
      </c>
      <c r="B51" s="30">
        <f>IF(Inputs!B46&gt;0,Inputs!B47/(Inputs!B49*12),0)</f>
        <v>0</v>
      </c>
    </row>
    <row r="52" spans="1:2" x14ac:dyDescent="0.25">
      <c r="A52" t="s">
        <v>171</v>
      </c>
      <c r="B52" s="30">
        <f>IF(Inputs!B46&gt;0,Calcs!B51+Inputs!B48,0)</f>
        <v>0</v>
      </c>
    </row>
    <row r="53" spans="1:2" x14ac:dyDescent="0.25">
      <c r="A53" t="s">
        <v>172</v>
      </c>
      <c r="B53" s="30">
        <f>Calcs!B52/Calcs!B45</f>
        <v>0</v>
      </c>
    </row>
    <row r="54" spans="1:2" x14ac:dyDescent="0.25">
      <c r="A54" t="s">
        <v>173</v>
      </c>
      <c r="B54" s="30">
        <f>Inputs!B52/Calcs!B45</f>
        <v>0</v>
      </c>
    </row>
    <row r="55" spans="1:2" x14ac:dyDescent="0.25">
      <c r="A55" t="s">
        <v>174</v>
      </c>
      <c r="B55" s="30">
        <f>Inputs!B53/Calcs!B45</f>
        <v>9.8977235235895744</v>
      </c>
    </row>
    <row r="56" spans="1:2" x14ac:dyDescent="0.25">
      <c r="A56" t="s">
        <v>175</v>
      </c>
      <c r="B56" s="30">
        <f>Inputs!B54/Calcs!B45</f>
        <v>4.9488617617947872</v>
      </c>
    </row>
    <row r="57" spans="1:2" x14ac:dyDescent="0.25">
      <c r="A57" t="s">
        <v>176</v>
      </c>
      <c r="B57" s="30">
        <f>Inputs!B55/Calcs!B45</f>
        <v>6.598482349059716</v>
      </c>
    </row>
    <row r="58" spans="1:2" x14ac:dyDescent="0.25">
      <c r="A58" t="s">
        <v>177</v>
      </c>
      <c r="B58" s="30">
        <f>Inputs!B56/Calcs!B45</f>
        <v>26.393929396238864</v>
      </c>
    </row>
    <row r="59" spans="1:2" x14ac:dyDescent="0.25">
      <c r="A59" t="s">
        <v>178</v>
      </c>
      <c r="B59" s="30">
        <f>Inputs!B57/Calcs!B45</f>
        <v>3.299241174529858</v>
      </c>
    </row>
    <row r="60" spans="1:2" x14ac:dyDescent="0.25">
      <c r="A60" t="s">
        <v>179</v>
      </c>
      <c r="B60" s="30">
        <f>Inputs!B58/Calcs!B45</f>
        <v>0</v>
      </c>
    </row>
    <row r="61" spans="1:2" x14ac:dyDescent="0.25">
      <c r="A61" t="s">
        <v>180</v>
      </c>
      <c r="B61" s="30">
        <f>Inputs!B63*Inputs!B64</f>
        <v>625000</v>
      </c>
    </row>
    <row r="62" spans="1:2" x14ac:dyDescent="0.25">
      <c r="A62" t="s">
        <v>114</v>
      </c>
      <c r="B62" s="30">
        <f>Inputs!B63-Calcs!B61</f>
        <v>1875000</v>
      </c>
    </row>
    <row r="63" spans="1:2" x14ac:dyDescent="0.25">
      <c r="A63" t="s">
        <v>181</v>
      </c>
      <c r="B63" s="30">
        <f>Inputs!B65/12</f>
        <v>5.8333333333333336E-3</v>
      </c>
    </row>
    <row r="64" spans="1:2" x14ac:dyDescent="0.25">
      <c r="A64" t="s">
        <v>182</v>
      </c>
      <c r="B64" s="30">
        <f>Inputs!B66*12</f>
        <v>300</v>
      </c>
    </row>
    <row r="65" spans="1:2" x14ac:dyDescent="0.25">
      <c r="A65" t="s">
        <v>183</v>
      </c>
      <c r="B65" s="30">
        <f>IF(Inputs!B62&gt;0,IF(Calcs!B63&lt;=0,Calcs!B62/Calcs!B64,Calcs!B62*(Calcs!B63*(1+Calcs!B63)^Calcs!B64)/((1+Calcs!B63)^Calcs!B64-1)),0)</f>
        <v>13252.109948907957</v>
      </c>
    </row>
    <row r="66" spans="1:2" x14ac:dyDescent="0.25">
      <c r="A66" t="s">
        <v>184</v>
      </c>
      <c r="B66" s="30">
        <f>Calcs!B65/Calcs!B45</f>
        <v>437.21906792833903</v>
      </c>
    </row>
    <row r="67" spans="1:2" x14ac:dyDescent="0.25">
      <c r="A67" t="s">
        <v>116</v>
      </c>
      <c r="B67" s="30">
        <f>Calcs!B65*Calcs!B64</f>
        <v>3975632.9846723871</v>
      </c>
    </row>
    <row r="68" spans="1:2" x14ac:dyDescent="0.25">
      <c r="A68" t="s">
        <v>117</v>
      </c>
      <c r="B68" s="30">
        <f>Calcs!B67-Calcs!B62</f>
        <v>2100632.9846723871</v>
      </c>
    </row>
    <row r="69" spans="1:2" x14ac:dyDescent="0.25">
      <c r="A69" t="s">
        <v>185</v>
      </c>
      <c r="B69" s="30">
        <f>Calcs!B50+Calcs!B53+Calcs!B54+Calcs!B55+Calcs!B56+Calcs!B57+Calcs!B58+Calcs!B59+Calcs!B60+Calcs!B66</f>
        <v>642.53330613355183</v>
      </c>
    </row>
    <row r="70" spans="1:2" x14ac:dyDescent="0.25">
      <c r="A70" t="s">
        <v>186</v>
      </c>
      <c r="B70" s="30">
        <f>Calcs!B44-Calcs!B69</f>
        <v>737.1539838530075</v>
      </c>
    </row>
    <row r="71" spans="1:2" x14ac:dyDescent="0.25">
      <c r="A71" t="s">
        <v>187</v>
      </c>
      <c r="B71" s="30">
        <f>Calcs!B44*Inputs!B7</f>
        <v>9657.8110299059153</v>
      </c>
    </row>
    <row r="72" spans="1:2" x14ac:dyDescent="0.25">
      <c r="A72" t="s">
        <v>188</v>
      </c>
      <c r="B72" s="30">
        <f>Calcs!B69*Inputs!B7</f>
        <v>4497.7331429348633</v>
      </c>
    </row>
    <row r="73" spans="1:2" x14ac:dyDescent="0.25">
      <c r="A73" t="s">
        <v>189</v>
      </c>
      <c r="B73" s="30">
        <f>Calcs!B70*Inputs!B7</f>
        <v>5160.0778869710521</v>
      </c>
    </row>
    <row r="74" spans="1:2" x14ac:dyDescent="0.25">
      <c r="A74" t="s">
        <v>190</v>
      </c>
      <c r="B74" s="30">
        <f>Calcs!B44*Calcs!B45</f>
        <v>41818.321759492617</v>
      </c>
    </row>
    <row r="75" spans="1:2" x14ac:dyDescent="0.25">
      <c r="A75" t="s">
        <v>191</v>
      </c>
      <c r="B75" s="30">
        <f>Calcs!B69*Calcs!B45</f>
        <v>19475.184508907958</v>
      </c>
    </row>
    <row r="76" spans="1:2" x14ac:dyDescent="0.25">
      <c r="A76" t="s">
        <v>192</v>
      </c>
      <c r="B76" s="30">
        <f>Calcs!B70*Calcs!B45</f>
        <v>22343.137250584659</v>
      </c>
    </row>
    <row r="77" spans="1:2" x14ac:dyDescent="0.25">
      <c r="A77" t="s">
        <v>193</v>
      </c>
      <c r="B77" s="30">
        <f>Calcs!B44*Calcs!B46</f>
        <v>502206.17355510761</v>
      </c>
    </row>
    <row r="78" spans="1:2" x14ac:dyDescent="0.25">
      <c r="A78" t="s">
        <v>194</v>
      </c>
      <c r="B78" s="30">
        <f>Calcs!B69*Calcs!B46</f>
        <v>233882.12343261286</v>
      </c>
    </row>
    <row r="79" spans="1:2" x14ac:dyDescent="0.25">
      <c r="A79" t="s">
        <v>195</v>
      </c>
      <c r="B79" s="30">
        <f>Calcs!B70*Calcs!B46</f>
        <v>268324.05012249475</v>
      </c>
    </row>
    <row r="80" spans="1:2" x14ac:dyDescent="0.25">
      <c r="A80" t="s">
        <v>196</v>
      </c>
      <c r="B80" s="30">
        <f>Calcs!B11+Calcs!B29</f>
        <v>104.76612903225808</v>
      </c>
    </row>
    <row r="81" spans="1:2" x14ac:dyDescent="0.25">
      <c r="A81" t="s">
        <v>197</v>
      </c>
      <c r="B81" s="30">
        <f>IF(Calcs!B80&gt;0,Calcs!B38/Calcs!B80,0)</f>
        <v>12.712406666153491</v>
      </c>
    </row>
    <row r="82" spans="1:2" x14ac:dyDescent="0.25">
      <c r="A82" t="s">
        <v>198</v>
      </c>
      <c r="B82" s="30">
        <f>(100/120)*(1-Inputs!B59)</f>
        <v>0.8125</v>
      </c>
    </row>
    <row r="83" spans="1:2" x14ac:dyDescent="0.25">
      <c r="A83" t="s">
        <v>199</v>
      </c>
      <c r="B83" s="30">
        <f>(Calcs!B39+Calcs!B40)*Calcs!B82</f>
        <v>304.6875</v>
      </c>
    </row>
    <row r="84" spans="1:2" x14ac:dyDescent="0.25">
      <c r="A84" t="s">
        <v>200</v>
      </c>
      <c r="B84" s="30">
        <f>Calcs!B44-Calcs!B83</f>
        <v>1074.9997899865593</v>
      </c>
    </row>
    <row r="85" spans="1:2" x14ac:dyDescent="0.25">
      <c r="A85" t="s">
        <v>201</v>
      </c>
      <c r="B85" s="30">
        <f>IF(Calcs!B84&gt;0,MAX(0,(Calcs!B69-Calcs!B83)/(Calcs!B84/Inputs!B8)),1)</f>
        <v>0.15713761494677869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Results</vt:lpstr>
      <vt:lpstr>Calcs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CJ Coleman</cp:lastModifiedBy>
  <cp:revision>0</cp:revision>
  <dcterms:created xsi:type="dcterms:W3CDTF">2026-02-20T20:08:07Z</dcterms:created>
  <dcterms:modified xsi:type="dcterms:W3CDTF">2026-02-20T20:29:36Z</dcterms:modified>
  <dc:language>en-US</dc:language>
</cp:coreProperties>
</file>